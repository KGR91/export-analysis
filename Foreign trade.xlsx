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theme/themeOverride1.xml" ContentType="application/vnd.openxmlformats-officedocument.themeOverrid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theme/themeOverride2.xml" ContentType="application/vnd.openxmlformats-officedocument.themeOverrid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theme/themeOverride3.xml" ContentType="application/vnd.openxmlformats-officedocument.themeOverrid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theme/themeOverride4.xml" ContentType="application/vnd.openxmlformats-officedocument.themeOverrid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theme/themeOverride5.xml" ContentType="application/vnd.openxmlformats-officedocument.themeOverride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theme/themeOverride6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Георгий\Documents\MH\R\АВМ\Экспорт импорт 2023\"/>
    </mc:Choice>
  </mc:AlternateContent>
  <xr:revisionPtr revIDLastSave="0" documentId="13_ncr:1_{945BB364-03B6-4020-A1E8-3290EAE4DEF3}" xr6:coauthVersionLast="47" xr6:coauthVersionMax="47" xr10:uidLastSave="{00000000-0000-0000-0000-000000000000}"/>
  <bookViews>
    <workbookView xWindow="-108" yWindow="-108" windowWidth="23256" windowHeight="12576" activeTab="8" xr2:uid="{801C07C6-F0A4-431A-8C7E-C1FE2D6CB1D5}"/>
  </bookViews>
  <sheets>
    <sheet name="period" sheetId="1" r:id="rId1"/>
    <sheet name="monthly" sheetId="2" r:id="rId2"/>
    <sheet name="country" sheetId="12" r:id="rId3"/>
    <sheet name="country dairy" sheetId="14" r:id="rId4"/>
    <sheet name="dairy" sheetId="3" r:id="rId5"/>
    <sheet name="d1" sheetId="5" r:id="rId6"/>
    <sheet name="d2" sheetId="6" r:id="rId7"/>
    <sheet name="d3" sheetId="7" r:id="rId8"/>
    <sheet name="cattle" sheetId="8" r:id="rId9"/>
    <sheet name="d4" sheetId="9" r:id="rId10"/>
    <sheet name="d5" sheetId="10" r:id="rId11"/>
    <sheet name="d6" sheetId="11" r:id="rId12"/>
    <sheet name="set" sheetId="4" r:id="rId13"/>
  </sheets>
  <definedNames>
    <definedName name="_xlnm._FilterDatabase" localSheetId="1" hidden="1">monthly!$B$1:$K$290</definedName>
    <definedName name="_xlnm._FilterDatabase" localSheetId="0" hidden="1">period!$A$1:$L$144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1" i="8" l="1"/>
  <c r="N21" i="8"/>
  <c r="V10" i="8"/>
  <c r="L280" i="2"/>
  <c r="L281" i="2"/>
  <c r="L282" i="2"/>
  <c r="L283" i="2"/>
  <c r="L284" i="2"/>
  <c r="L285" i="2"/>
  <c r="L286" i="2"/>
  <c r="L287" i="2"/>
  <c r="L288" i="2"/>
  <c r="L289" i="2"/>
  <c r="L290" i="2"/>
  <c r="L311" i="1"/>
  <c r="L312" i="1"/>
  <c r="L313" i="1"/>
  <c r="L314" i="1"/>
  <c r="L315" i="1"/>
  <c r="L316" i="1"/>
  <c r="L317" i="1"/>
  <c r="L318" i="1"/>
  <c r="L319" i="1"/>
  <c r="L320" i="1"/>
  <c r="L310" i="1"/>
  <c r="D30" i="3"/>
  <c r="E25" i="3" a="1"/>
  <c r="E25" i="3" s="1"/>
  <c r="E18" i="3" a="1"/>
  <c r="E18" i="3" s="1"/>
  <c r="E19" i="3" a="1"/>
  <c r="E19" i="3" s="1"/>
  <c r="E20" i="3" a="1"/>
  <c r="E20" i="3" s="1"/>
  <c r="E21" i="3" a="1"/>
  <c r="E21" i="3" s="1"/>
  <c r="E22" i="3" a="1"/>
  <c r="E22" i="3" s="1"/>
  <c r="E23" i="3" a="1"/>
  <c r="E23" i="3" s="1"/>
  <c r="E24" i="3" a="1"/>
  <c r="E24" i="3" s="1"/>
  <c r="L269" i="2"/>
  <c r="L270" i="2"/>
  <c r="L271" i="2"/>
  <c r="L272" i="2"/>
  <c r="L273" i="2"/>
  <c r="L274" i="2"/>
  <c r="L275" i="2"/>
  <c r="L276" i="2"/>
  <c r="L277" i="2"/>
  <c r="L278" i="2"/>
  <c r="L279" i="2"/>
  <c r="A20" i="4"/>
  <c r="L299" i="1"/>
  <c r="L300" i="1"/>
  <c r="L301" i="1"/>
  <c r="L302" i="1"/>
  <c r="L303" i="1"/>
  <c r="L304" i="1"/>
  <c r="L305" i="1"/>
  <c r="L306" i="1"/>
  <c r="L307" i="1"/>
  <c r="L308" i="1"/>
  <c r="L309" i="1"/>
  <c r="T35" i="8"/>
  <c r="T34" i="8"/>
  <c r="L261" i="2"/>
  <c r="L262" i="2"/>
  <c r="L263" i="2"/>
  <c r="L264" i="2"/>
  <c r="L265" i="2"/>
  <c r="L266" i="2"/>
  <c r="L267" i="2"/>
  <c r="L268" i="2"/>
  <c r="L258" i="2"/>
  <c r="L259" i="2"/>
  <c r="L260" i="2"/>
  <c r="L288" i="1" l="1"/>
  <c r="L289" i="1"/>
  <c r="L290" i="1"/>
  <c r="L291" i="1"/>
  <c r="L292" i="1"/>
  <c r="L293" i="1"/>
  <c r="L294" i="1"/>
  <c r="L295" i="1"/>
  <c r="L296" i="1"/>
  <c r="L297" i="1"/>
  <c r="L298" i="1"/>
  <c r="L277" i="1"/>
  <c r="L278" i="1"/>
  <c r="L279" i="1"/>
  <c r="L280" i="1"/>
  <c r="L281" i="1"/>
  <c r="L282" i="1"/>
  <c r="L283" i="1"/>
  <c r="L284" i="1"/>
  <c r="L285" i="1"/>
  <c r="L286" i="1"/>
  <c r="L287" i="1"/>
  <c r="L250" i="2"/>
  <c r="L251" i="2"/>
  <c r="L252" i="2"/>
  <c r="L253" i="2"/>
  <c r="L254" i="2"/>
  <c r="L255" i="2"/>
  <c r="L256" i="2"/>
  <c r="L257" i="2"/>
  <c r="L247" i="2"/>
  <c r="L248" i="2"/>
  <c r="L249" i="2"/>
  <c r="L267" i="1" l="1"/>
  <c r="L268" i="1"/>
  <c r="L269" i="1"/>
  <c r="L270" i="1"/>
  <c r="L271" i="1"/>
  <c r="L272" i="1"/>
  <c r="L273" i="1"/>
  <c r="L274" i="1"/>
  <c r="L275" i="1"/>
  <c r="L276" i="1"/>
  <c r="L266" i="1"/>
  <c r="L256" i="1"/>
  <c r="L257" i="1"/>
  <c r="L258" i="1"/>
  <c r="L259" i="1"/>
  <c r="L260" i="1"/>
  <c r="L261" i="1"/>
  <c r="L262" i="1"/>
  <c r="L263" i="1"/>
  <c r="L264" i="1"/>
  <c r="L265" i="1"/>
  <c r="L255" i="1"/>
  <c r="L244" i="2"/>
  <c r="L245" i="2"/>
  <c r="L246" i="2"/>
  <c r="L236" i="2"/>
  <c r="L237" i="2"/>
  <c r="L238" i="2"/>
  <c r="L239" i="2"/>
  <c r="L240" i="2"/>
  <c r="L241" i="2"/>
  <c r="L242" i="2"/>
  <c r="L243" i="2"/>
  <c r="L247" i="1"/>
  <c r="L248" i="1"/>
  <c r="L249" i="1"/>
  <c r="L250" i="1"/>
  <c r="L251" i="1"/>
  <c r="L252" i="1"/>
  <c r="L253" i="1"/>
  <c r="L254" i="1"/>
  <c r="L245" i="1"/>
  <c r="L246" i="1"/>
  <c r="L244" i="1"/>
  <c r="E26" i="3" l="1"/>
  <c r="L233" i="1"/>
  <c r="L234" i="1"/>
  <c r="L235" i="1"/>
  <c r="L236" i="1"/>
  <c r="L237" i="1"/>
  <c r="L238" i="1"/>
  <c r="L239" i="1"/>
  <c r="L240" i="1"/>
  <c r="L241" i="1"/>
  <c r="L242" i="1"/>
  <c r="L243" i="1"/>
  <c r="L225" i="2"/>
  <c r="L226" i="2"/>
  <c r="L227" i="2"/>
  <c r="L228" i="2"/>
  <c r="L229" i="2"/>
  <c r="L230" i="2"/>
  <c r="L231" i="2"/>
  <c r="L232" i="2"/>
  <c r="L233" i="2"/>
  <c r="L234" i="2"/>
  <c r="L235" i="2"/>
  <c r="C44" i="3"/>
  <c r="L225" i="1"/>
  <c r="L226" i="1"/>
  <c r="L227" i="1"/>
  <c r="L228" i="1"/>
  <c r="L229" i="1"/>
  <c r="L230" i="1"/>
  <c r="L231" i="1"/>
  <c r="L232" i="1"/>
  <c r="L223" i="1"/>
  <c r="L224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12" i="8"/>
  <c r="L3" i="8"/>
  <c r="D1" i="10" s="1"/>
  <c r="C20" i="8"/>
  <c r="P29" i="8"/>
  <c r="H29" i="8"/>
  <c r="P12" i="8"/>
  <c r="L214" i="2"/>
  <c r="L215" i="2"/>
  <c r="L216" i="2"/>
  <c r="L217" i="2"/>
  <c r="L218" i="2"/>
  <c r="L219" i="2"/>
  <c r="L220" i="2"/>
  <c r="L221" i="2"/>
  <c r="L222" i="2"/>
  <c r="L223" i="2"/>
  <c r="L224" i="2"/>
  <c r="D13" i="8" a="1"/>
  <c r="D13" i="8" s="1"/>
  <c r="L201" i="1"/>
  <c r="L202" i="1"/>
  <c r="L203" i="1"/>
  <c r="L204" i="1"/>
  <c r="L205" i="1"/>
  <c r="L206" i="1"/>
  <c r="L207" i="1"/>
  <c r="L208" i="1"/>
  <c r="L209" i="1"/>
  <c r="L210" i="1"/>
  <c r="L200" i="1"/>
  <c r="L189" i="1"/>
  <c r="L190" i="1"/>
  <c r="L191" i="1"/>
  <c r="L192" i="1"/>
  <c r="L193" i="1"/>
  <c r="L194" i="1"/>
  <c r="L195" i="1"/>
  <c r="L196" i="1"/>
  <c r="L197" i="1"/>
  <c r="L198" i="1"/>
  <c r="L199" i="1"/>
  <c r="M3" i="8"/>
  <c r="K3" i="8"/>
  <c r="L179" i="1"/>
  <c r="L180" i="1"/>
  <c r="L181" i="1"/>
  <c r="L182" i="1"/>
  <c r="L183" i="1"/>
  <c r="L184" i="1"/>
  <c r="L185" i="1"/>
  <c r="L186" i="1"/>
  <c r="L187" i="1"/>
  <c r="L188" i="1"/>
  <c r="L178" i="1"/>
  <c r="L203" i="2"/>
  <c r="L204" i="2"/>
  <c r="L205" i="2"/>
  <c r="L206" i="2"/>
  <c r="L207" i="2"/>
  <c r="L208" i="2"/>
  <c r="L209" i="2"/>
  <c r="L210" i="2"/>
  <c r="L211" i="2"/>
  <c r="L212" i="2"/>
  <c r="L213" i="2"/>
  <c r="L192" i="2" l="1"/>
  <c r="L193" i="2"/>
  <c r="L194" i="2"/>
  <c r="L195" i="2"/>
  <c r="L196" i="2"/>
  <c r="L197" i="2"/>
  <c r="L198" i="2"/>
  <c r="L199" i="2"/>
  <c r="L200" i="2"/>
  <c r="L201" i="2"/>
  <c r="L202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61" i="2"/>
  <c r="L160" i="2"/>
  <c r="L170" i="1"/>
  <c r="L171" i="1"/>
  <c r="L172" i="1"/>
  <c r="L173" i="1"/>
  <c r="L174" i="1"/>
  <c r="L175" i="1"/>
  <c r="L176" i="1"/>
  <c r="L177" i="1"/>
  <c r="L168" i="1"/>
  <c r="L169" i="1"/>
  <c r="L167" i="1"/>
  <c r="C18" i="3" a="1"/>
  <c r="C18" i="3" s="1"/>
  <c r="C4" i="3" a="1"/>
  <c r="C4" i="3" s="1"/>
  <c r="K22" i="8" a="1"/>
  <c r="K22" i="8" s="1"/>
  <c r="M20" i="8"/>
  <c r="L20" i="8"/>
  <c r="K20" i="8"/>
  <c r="K23" i="8" s="1" a="1"/>
  <c r="K23" i="8" s="1"/>
  <c r="C22" i="8" a="1"/>
  <c r="C22" i="8" s="1"/>
  <c r="C23" i="8" a="1"/>
  <c r="C23" i="8" s="1"/>
  <c r="C21" i="8" a="1"/>
  <c r="C21" i="8" s="1"/>
  <c r="E20" i="8"/>
  <c r="D20" i="8"/>
  <c r="C5" i="8" a="1"/>
  <c r="C5" i="8" s="1"/>
  <c r="C6" i="8" a="1"/>
  <c r="C6" i="8" s="1"/>
  <c r="C4" i="8" a="1"/>
  <c r="C4" i="8" s="1"/>
  <c r="D4" i="8" a="1"/>
  <c r="D4" i="8" s="1"/>
  <c r="C1" i="7"/>
  <c r="L156" i="1"/>
  <c r="L157" i="1"/>
  <c r="L158" i="1"/>
  <c r="L159" i="1"/>
  <c r="L160" i="1"/>
  <c r="L161" i="1"/>
  <c r="L162" i="1"/>
  <c r="L163" i="1"/>
  <c r="L164" i="1"/>
  <c r="L165" i="1"/>
  <c r="L166" i="1"/>
  <c r="K21" i="8" l="1" a="1"/>
  <c r="K21" i="8" s="1"/>
  <c r="N30" i="3"/>
  <c r="M30" i="3"/>
  <c r="E1" i="7" s="1"/>
  <c r="L30" i="3"/>
  <c r="D1" i="7" s="1"/>
  <c r="K30" i="3"/>
  <c r="K32" i="3" s="1" a="1"/>
  <c r="K32" i="3" s="1"/>
  <c r="M3" i="3"/>
  <c r="L3" i="3"/>
  <c r="L4" i="3" s="1" a="1"/>
  <c r="L4" i="3" s="1"/>
  <c r="C30" i="3"/>
  <c r="C32" i="3" s="1" a="1"/>
  <c r="C32" i="3" s="1"/>
  <c r="C5" i="3" a="1"/>
  <c r="C5" i="3" s="1"/>
  <c r="C6" i="3" a="1"/>
  <c r="C6" i="3" s="1"/>
  <c r="C7" i="3" a="1"/>
  <c r="C7" i="3" s="1"/>
  <c r="C8" i="3" a="1"/>
  <c r="C8" i="3" s="1"/>
  <c r="C9" i="3" a="1"/>
  <c r="C9" i="3" s="1"/>
  <c r="C10" i="3" a="1"/>
  <c r="C10" i="3" s="1"/>
  <c r="C11" i="3" a="1"/>
  <c r="C11" i="3" s="1"/>
  <c r="E30" i="3"/>
  <c r="L145" i="1"/>
  <c r="L146" i="1"/>
  <c r="L147" i="1"/>
  <c r="L148" i="1"/>
  <c r="L149" i="1"/>
  <c r="L150" i="1"/>
  <c r="L151" i="1"/>
  <c r="L152" i="1"/>
  <c r="L153" i="1"/>
  <c r="L154" i="1"/>
  <c r="L155" i="1"/>
  <c r="K17" i="3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2" i="2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2" i="1"/>
  <c r="N29" i="8"/>
  <c r="F29" i="8"/>
  <c r="O20" i="8"/>
  <c r="N20" i="8"/>
  <c r="G20" i="8"/>
  <c r="F20" i="8"/>
  <c r="N12" i="8"/>
  <c r="F12" i="8"/>
  <c r="O3" i="8"/>
  <c r="N3" i="8"/>
  <c r="C1" i="9"/>
  <c r="B2" i="9"/>
  <c r="B3" i="9"/>
  <c r="B4" i="9"/>
  <c r="B1" i="9"/>
  <c r="A2" i="9"/>
  <c r="A3" i="9"/>
  <c r="A4" i="9"/>
  <c r="A1" i="9"/>
  <c r="B2" i="11"/>
  <c r="B3" i="11"/>
  <c r="B4" i="11"/>
  <c r="B1" i="11"/>
  <c r="A2" i="11"/>
  <c r="A3" i="11"/>
  <c r="A4" i="11"/>
  <c r="A1" i="11"/>
  <c r="B2" i="10"/>
  <c r="B3" i="10"/>
  <c r="B4" i="10"/>
  <c r="B1" i="10"/>
  <c r="A2" i="10"/>
  <c r="A3" i="10"/>
  <c r="A4" i="10"/>
  <c r="A1" i="10"/>
  <c r="M23" i="8" a="1"/>
  <c r="M23" i="8" s="1"/>
  <c r="E4" i="11" s="1"/>
  <c r="M30" i="8" a="1"/>
  <c r="M30" i="8" s="1"/>
  <c r="E22" i="8" a="1"/>
  <c r="E22" i="8" s="1"/>
  <c r="G22" i="8" s="1"/>
  <c r="E23" i="8" a="1"/>
  <c r="E23" i="8" s="1"/>
  <c r="G23" i="8" s="1"/>
  <c r="E21" i="8" a="1"/>
  <c r="E21" i="8" s="1"/>
  <c r="G21" i="8" s="1"/>
  <c r="D22" i="8" a="1"/>
  <c r="D22" i="8" s="1"/>
  <c r="F22" i="8" s="1"/>
  <c r="D23" i="8" a="1"/>
  <c r="D23" i="8" s="1"/>
  <c r="F23" i="8" s="1"/>
  <c r="D21" i="8" a="1"/>
  <c r="D21" i="8" s="1"/>
  <c r="F21" i="8" s="1"/>
  <c r="M29" i="8"/>
  <c r="M31" i="8" s="1" a="1"/>
  <c r="M31" i="8" s="1"/>
  <c r="L29" i="8"/>
  <c r="L31" i="8" s="1" a="1"/>
  <c r="L31" i="8" s="1"/>
  <c r="K29" i="8"/>
  <c r="K31" i="8" s="1" a="1"/>
  <c r="K31" i="8" s="1"/>
  <c r="E29" i="8"/>
  <c r="E31" i="8" s="1" a="1"/>
  <c r="E31" i="8" s="1"/>
  <c r="D29" i="8"/>
  <c r="D31" i="8" s="1" a="1"/>
  <c r="D31" i="8" s="1"/>
  <c r="C29" i="8"/>
  <c r="C32" i="8" s="1" a="1"/>
  <c r="C32" i="8" s="1"/>
  <c r="M22" i="8" a="1"/>
  <c r="M22" i="8" s="1"/>
  <c r="E3" i="11" s="1"/>
  <c r="L23" i="8" a="1"/>
  <c r="L23" i="8" s="1"/>
  <c r="D4" i="11" s="1"/>
  <c r="C1" i="11"/>
  <c r="M13" i="8" a="1"/>
  <c r="M13" i="8" s="1"/>
  <c r="L15" i="8" a="1"/>
  <c r="L15" i="8" s="1"/>
  <c r="M12" i="8"/>
  <c r="L14" i="8" a="1"/>
  <c r="L14" i="8" s="1"/>
  <c r="K12" i="8"/>
  <c r="K14" i="8" s="1" a="1"/>
  <c r="K14" i="8" s="1"/>
  <c r="M5" i="8" a="1"/>
  <c r="M5" i="8" s="1"/>
  <c r="E3" i="10" s="1"/>
  <c r="E14" i="8" a="1"/>
  <c r="E14" i="8" s="1"/>
  <c r="E15" i="8" a="1"/>
  <c r="E15" i="8" s="1"/>
  <c r="E13" i="8" a="1"/>
  <c r="E13" i="8" s="1"/>
  <c r="D14" i="8" a="1"/>
  <c r="D14" i="8" s="1"/>
  <c r="D15" i="8" a="1"/>
  <c r="D15" i="8" s="1"/>
  <c r="C14" i="8" a="1"/>
  <c r="C14" i="8" s="1"/>
  <c r="C15" i="8" a="1"/>
  <c r="C15" i="8" s="1"/>
  <c r="C13" i="8" a="1"/>
  <c r="C13" i="8" s="1"/>
  <c r="H13" i="8" s="1"/>
  <c r="E6" i="8" a="1"/>
  <c r="E6" i="8" s="1"/>
  <c r="D6" i="8" a="1"/>
  <c r="D6" i="8" s="1"/>
  <c r="E5" i="8" a="1"/>
  <c r="E5" i="8" s="1"/>
  <c r="D5" i="8" a="1"/>
  <c r="D5" i="8" s="1"/>
  <c r="E4" i="8" a="1"/>
  <c r="E4" i="8" s="1"/>
  <c r="A2" i="7"/>
  <c r="B2" i="7"/>
  <c r="A3" i="7"/>
  <c r="B3" i="7"/>
  <c r="A4" i="7"/>
  <c r="B4" i="7"/>
  <c r="A5" i="7"/>
  <c r="B5" i="7"/>
  <c r="A6" i="7"/>
  <c r="B6" i="7"/>
  <c r="A7" i="7"/>
  <c r="B7" i="7"/>
  <c r="A8" i="7"/>
  <c r="B8" i="7"/>
  <c r="A9" i="7"/>
  <c r="B9" i="7"/>
  <c r="B1" i="7"/>
  <c r="A1" i="7"/>
  <c r="A2" i="6"/>
  <c r="B2" i="6"/>
  <c r="A3" i="6"/>
  <c r="B3" i="6"/>
  <c r="A4" i="6"/>
  <c r="B4" i="6"/>
  <c r="A5" i="6"/>
  <c r="B5" i="6"/>
  <c r="A6" i="6"/>
  <c r="B6" i="6"/>
  <c r="A7" i="6"/>
  <c r="B7" i="6"/>
  <c r="A8" i="6"/>
  <c r="B8" i="6"/>
  <c r="A9" i="6"/>
  <c r="B9" i="6"/>
  <c r="B1" i="6"/>
  <c r="A1" i="6"/>
  <c r="C1" i="5"/>
  <c r="B2" i="5"/>
  <c r="B3" i="5"/>
  <c r="B4" i="5"/>
  <c r="B5" i="5"/>
  <c r="B6" i="5"/>
  <c r="B7" i="5"/>
  <c r="B8" i="5"/>
  <c r="B9" i="5"/>
  <c r="B1" i="5"/>
  <c r="A5" i="5"/>
  <c r="A6" i="5"/>
  <c r="A7" i="5"/>
  <c r="A8" i="5"/>
  <c r="A9" i="5"/>
  <c r="A2" i="5"/>
  <c r="A3" i="5"/>
  <c r="A4" i="5"/>
  <c r="A1" i="5"/>
  <c r="M15" i="8" l="1" a="1"/>
  <c r="M15" i="8" s="1"/>
  <c r="M14" i="8" a="1"/>
  <c r="M14" i="8" s="1"/>
  <c r="H14" i="8"/>
  <c r="P14" i="8"/>
  <c r="P31" i="8"/>
  <c r="H15" i="8"/>
  <c r="M32" i="8" a="1"/>
  <c r="M32" i="8" s="1"/>
  <c r="M33" i="8" s="1"/>
  <c r="K31" i="3" a="1"/>
  <c r="K31" i="3" s="1"/>
  <c r="K4" i="8" a="1"/>
  <c r="K4" i="8" s="1"/>
  <c r="C1" i="10"/>
  <c r="K5" i="8" a="1"/>
  <c r="K5" i="8" s="1"/>
  <c r="K6" i="8" a="1"/>
  <c r="K6" i="8" s="1"/>
  <c r="L5" i="8" a="1"/>
  <c r="L5" i="8" s="1"/>
  <c r="D3" i="10" s="1"/>
  <c r="M21" i="8" a="1"/>
  <c r="M21" i="8" s="1"/>
  <c r="E2" i="11" s="1"/>
  <c r="C31" i="3" a="1"/>
  <c r="C31" i="3" s="1"/>
  <c r="C38" i="3" a="1"/>
  <c r="C38" i="3" s="1"/>
  <c r="K38" i="3" a="1"/>
  <c r="K38" i="3" s="1"/>
  <c r="C37" i="3" a="1"/>
  <c r="C37" i="3" s="1"/>
  <c r="K37" i="3" a="1"/>
  <c r="K37" i="3" s="1"/>
  <c r="C36" i="3" a="1"/>
  <c r="C36" i="3" s="1"/>
  <c r="K36" i="3" a="1"/>
  <c r="K36" i="3" s="1"/>
  <c r="C35" i="3" a="1"/>
  <c r="C35" i="3" s="1"/>
  <c r="K35" i="3" a="1"/>
  <c r="K35" i="3" s="1"/>
  <c r="C34" i="3" a="1"/>
  <c r="C34" i="3" s="1"/>
  <c r="K34" i="3" a="1"/>
  <c r="K34" i="3" s="1"/>
  <c r="C33" i="3" a="1"/>
  <c r="C33" i="3" s="1"/>
  <c r="K33" i="3" a="1"/>
  <c r="K33" i="3" s="1"/>
  <c r="L30" i="8" a="1"/>
  <c r="L30" i="8" s="1"/>
  <c r="E24" i="8"/>
  <c r="D24" i="8"/>
  <c r="L32" i="8" a="1"/>
  <c r="L32" i="8" s="1"/>
  <c r="K30" i="8" a="1"/>
  <c r="K30" i="8" s="1"/>
  <c r="K32" i="8" a="1"/>
  <c r="K32" i="8" s="1"/>
  <c r="K13" i="8" a="1"/>
  <c r="K13" i="8" s="1"/>
  <c r="E1" i="11"/>
  <c r="E1" i="10"/>
  <c r="L22" i="8" a="1"/>
  <c r="L22" i="8" s="1"/>
  <c r="D3" i="11" s="1"/>
  <c r="L21" i="8" a="1"/>
  <c r="L21" i="8" s="1"/>
  <c r="D1" i="11"/>
  <c r="F6" i="8"/>
  <c r="C3" i="11"/>
  <c r="F5" i="8"/>
  <c r="D16" i="8"/>
  <c r="N31" i="8"/>
  <c r="C16" i="8"/>
  <c r="K15" i="8" a="1"/>
  <c r="K15" i="8" s="1"/>
  <c r="P15" i="8" s="1"/>
  <c r="C31" i="8" a="1"/>
  <c r="C31" i="8" s="1"/>
  <c r="H31" i="8" s="1"/>
  <c r="D30" i="8" a="1"/>
  <c r="D30" i="8" s="1"/>
  <c r="D32" i="8" a="1"/>
  <c r="D32" i="8" s="1"/>
  <c r="H32" i="8" s="1"/>
  <c r="L4" i="8" a="1"/>
  <c r="L4" i="8" s="1"/>
  <c r="D2" i="10" s="1"/>
  <c r="E30" i="8" a="1"/>
  <c r="E30" i="8" s="1"/>
  <c r="L6" i="8" a="1"/>
  <c r="L6" i="8" s="1"/>
  <c r="D4" i="10" s="1"/>
  <c r="E32" i="8" a="1"/>
  <c r="E32" i="8" s="1"/>
  <c r="F32" i="8" s="1"/>
  <c r="E16" i="8"/>
  <c r="C30" i="8" a="1"/>
  <c r="C30" i="8" s="1"/>
  <c r="M4" i="8" a="1"/>
  <c r="M4" i="8" s="1"/>
  <c r="E2" i="10" s="1"/>
  <c r="L13" i="8" a="1"/>
  <c r="L13" i="8" s="1"/>
  <c r="L16" i="8" s="1"/>
  <c r="D7" i="8"/>
  <c r="F4" i="8"/>
  <c r="M6" i="8" a="1"/>
  <c r="M6" i="8" s="1"/>
  <c r="E4" i="10" s="1"/>
  <c r="F14" i="8"/>
  <c r="F15" i="8"/>
  <c r="F13" i="8"/>
  <c r="E7" i="8"/>
  <c r="M16" i="8" l="1"/>
  <c r="N14" i="8"/>
  <c r="P30" i="8"/>
  <c r="P32" i="8"/>
  <c r="H30" i="8"/>
  <c r="N13" i="8"/>
  <c r="P13" i="8"/>
  <c r="N32" i="8"/>
  <c r="M24" i="8"/>
  <c r="F16" i="8"/>
  <c r="L33" i="8"/>
  <c r="C4" i="11"/>
  <c r="K33" i="8"/>
  <c r="N33" i="8" s="1"/>
  <c r="L7" i="8"/>
  <c r="N22" i="8"/>
  <c r="D2" i="11"/>
  <c r="L24" i="8"/>
  <c r="G6" i="8"/>
  <c r="G5" i="8"/>
  <c r="O22" i="8"/>
  <c r="E33" i="8"/>
  <c r="G4" i="8"/>
  <c r="C33" i="8"/>
  <c r="N6" i="8"/>
  <c r="C4" i="10"/>
  <c r="F31" i="8"/>
  <c r="O6" i="8"/>
  <c r="N5" i="8"/>
  <c r="C3" i="10"/>
  <c r="D33" i="8"/>
  <c r="N15" i="8"/>
  <c r="O5" i="8"/>
  <c r="F30" i="8"/>
  <c r="M7" i="8"/>
  <c r="C7" i="8"/>
  <c r="G7" i="8" s="1"/>
  <c r="K16" i="8"/>
  <c r="C2" i="10"/>
  <c r="O23" i="8" l="1"/>
  <c r="C2" i="11"/>
  <c r="K24" i="8"/>
  <c r="R22" i="8" s="1"/>
  <c r="N23" i="8"/>
  <c r="F33" i="8"/>
  <c r="F7" i="8"/>
  <c r="C24" i="8"/>
  <c r="N16" i="8"/>
  <c r="K37" i="8"/>
  <c r="O4" i="8"/>
  <c r="N4" i="8"/>
  <c r="K7" i="8"/>
  <c r="F24" i="8" l="1"/>
  <c r="G24" i="8"/>
  <c r="N24" i="8"/>
  <c r="R21" i="8"/>
  <c r="O24" i="8"/>
  <c r="R23" i="8"/>
  <c r="K35" i="8"/>
  <c r="R4" i="8"/>
  <c r="C2" i="9" s="1"/>
  <c r="R6" i="8"/>
  <c r="C4" i="9" s="1"/>
  <c r="O7" i="8"/>
  <c r="N7" i="8"/>
  <c r="R5" i="8"/>
  <c r="C3" i="9" s="1"/>
  <c r="R24" i="8" l="1"/>
  <c r="R7" i="8"/>
  <c r="D47" i="3" l="1" a="1"/>
  <c r="D47" i="3" s="1"/>
  <c r="M44" i="3"/>
  <c r="E44" i="3"/>
  <c r="D44" i="3"/>
  <c r="N44" i="3"/>
  <c r="L44" i="3"/>
  <c r="K44" i="3"/>
  <c r="F44" i="3"/>
  <c r="O30" i="3"/>
  <c r="G30" i="3"/>
  <c r="F30" i="3"/>
  <c r="L25" i="3" a="1"/>
  <c r="L25" i="3" s="1"/>
  <c r="L17" i="3"/>
  <c r="D19" i="3" a="1"/>
  <c r="D19" i="3" s="1"/>
  <c r="D20" i="3" a="1"/>
  <c r="D20" i="3" s="1"/>
  <c r="D21" i="3" a="1"/>
  <c r="D21" i="3" s="1"/>
  <c r="D22" i="3" a="1"/>
  <c r="D22" i="3" s="1"/>
  <c r="D23" i="3" a="1"/>
  <c r="D23" i="3" s="1"/>
  <c r="D24" i="3" a="1"/>
  <c r="D24" i="3" s="1"/>
  <c r="D25" i="3" a="1"/>
  <c r="D25" i="3" s="1"/>
  <c r="D18" i="3" a="1"/>
  <c r="D18" i="3" s="1"/>
  <c r="H18" i="3" s="1"/>
  <c r="C25" i="3" a="1"/>
  <c r="C25" i="3" s="1"/>
  <c r="C20" i="3" a="1"/>
  <c r="C20" i="3" s="1"/>
  <c r="C21" i="3" a="1"/>
  <c r="C21" i="3" s="1"/>
  <c r="C22" i="3" a="1"/>
  <c r="C22" i="3" s="1"/>
  <c r="C23" i="3" a="1"/>
  <c r="C23" i="3" s="1"/>
  <c r="C24" i="3" a="1"/>
  <c r="C24" i="3" s="1"/>
  <c r="C19" i="3" a="1"/>
  <c r="C19" i="3" s="1"/>
  <c r="E6" i="3" a="1"/>
  <c r="E6" i="3" s="1"/>
  <c r="G6" i="3" s="1"/>
  <c r="E7" i="3" a="1"/>
  <c r="E7" i="3" s="1"/>
  <c r="G7" i="3" s="1"/>
  <c r="E8" i="3" a="1"/>
  <c r="E8" i="3" s="1"/>
  <c r="G8" i="3" s="1"/>
  <c r="E9" i="3" a="1"/>
  <c r="E9" i="3" s="1"/>
  <c r="G9" i="3" s="1"/>
  <c r="E10" i="3" a="1"/>
  <c r="E10" i="3" s="1"/>
  <c r="G10" i="3" s="1"/>
  <c r="E11" i="3" a="1"/>
  <c r="E11" i="3" s="1"/>
  <c r="G11" i="3" s="1"/>
  <c r="E5" i="3" a="1"/>
  <c r="E5" i="3" s="1"/>
  <c r="G5" i="3" s="1"/>
  <c r="E4" i="3" a="1"/>
  <c r="E4" i="3" s="1"/>
  <c r="G4" i="3" s="1"/>
  <c r="K3" i="3"/>
  <c r="A35" i="4"/>
  <c r="A36" i="4"/>
  <c r="A25" i="4"/>
  <c r="A26" i="4"/>
  <c r="A27" i="4"/>
  <c r="A28" i="4"/>
  <c r="A29" i="4"/>
  <c r="A30" i="4"/>
  <c r="A31" i="4"/>
  <c r="A32" i="4"/>
  <c r="A33" i="4"/>
  <c r="A3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1" i="4"/>
  <c r="A22" i="4"/>
  <c r="A23" i="4"/>
  <c r="A24" i="4"/>
  <c r="A2" i="4"/>
  <c r="A3" i="4"/>
  <c r="A4" i="4"/>
  <c r="A1" i="4"/>
  <c r="M45" i="3" l="1" a="1"/>
  <c r="M45" i="3" s="1"/>
  <c r="M46" i="3" a="1"/>
  <c r="M46" i="3" s="1"/>
  <c r="M47" i="3" a="1"/>
  <c r="M47" i="3" s="1"/>
  <c r="M48" i="3" a="1"/>
  <c r="M48" i="3" s="1"/>
  <c r="M49" i="3" a="1"/>
  <c r="M49" i="3" s="1"/>
  <c r="M50" i="3" a="1"/>
  <c r="M50" i="3" s="1"/>
  <c r="M51" i="3" a="1"/>
  <c r="M51" i="3" s="1"/>
  <c r="M52" i="3" a="1"/>
  <c r="M52" i="3" s="1"/>
  <c r="E45" i="3" a="1"/>
  <c r="E45" i="3" s="1"/>
  <c r="E46" i="3" a="1"/>
  <c r="E46" i="3" s="1"/>
  <c r="E47" i="3" a="1"/>
  <c r="E47" i="3" s="1"/>
  <c r="E48" i="3" a="1"/>
  <c r="E48" i="3" s="1"/>
  <c r="E49" i="3" a="1"/>
  <c r="E49" i="3" s="1"/>
  <c r="E50" i="3" a="1"/>
  <c r="E50" i="3" s="1"/>
  <c r="E51" i="3" a="1"/>
  <c r="E51" i="3" s="1"/>
  <c r="E52" i="3" a="1"/>
  <c r="E52" i="3" s="1"/>
  <c r="C1" i="6"/>
  <c r="K8" i="3" a="1"/>
  <c r="K8" i="3" s="1"/>
  <c r="K9" i="3" a="1"/>
  <c r="K9" i="3" s="1"/>
  <c r="K10" i="3" a="1"/>
  <c r="K10" i="3" s="1"/>
  <c r="K11" i="3" a="1"/>
  <c r="K11" i="3" s="1"/>
  <c r="K4" i="3" a="1"/>
  <c r="K4" i="3" s="1"/>
  <c r="K5" i="3" a="1"/>
  <c r="K5" i="3" s="1"/>
  <c r="K7" i="3" a="1"/>
  <c r="K7" i="3" s="1"/>
  <c r="K6" i="3" a="1"/>
  <c r="K6" i="3" s="1"/>
  <c r="H19" i="3"/>
  <c r="H25" i="3"/>
  <c r="H24" i="3"/>
  <c r="H23" i="3"/>
  <c r="H22" i="3"/>
  <c r="H21" i="3"/>
  <c r="H20" i="3"/>
  <c r="D36" i="3" a="1"/>
  <c r="D36" i="3" s="1"/>
  <c r="F36" i="3" s="1"/>
  <c r="K52" i="3" a="1"/>
  <c r="K52" i="3" s="1"/>
  <c r="L50" i="3" a="1"/>
  <c r="L50" i="3" s="1"/>
  <c r="E36" i="3" a="1"/>
  <c r="E36" i="3" s="1"/>
  <c r="G36" i="3" s="1"/>
  <c r="D49" i="3" a="1"/>
  <c r="D49" i="3" s="1"/>
  <c r="C51" i="3" a="1"/>
  <c r="C51" i="3" s="1"/>
  <c r="L19" i="3" a="1"/>
  <c r="L19" i="3" s="1"/>
  <c r="L18" i="3" a="1"/>
  <c r="L18" i="3" s="1"/>
  <c r="L24" i="3" a="1"/>
  <c r="L24" i="3" s="1"/>
  <c r="L23" i="3" a="1"/>
  <c r="L23" i="3" s="1"/>
  <c r="K50" i="3" a="1"/>
  <c r="K50" i="3" s="1"/>
  <c r="L21" i="3" a="1"/>
  <c r="L21" i="3" s="1"/>
  <c r="L20" i="3" a="1"/>
  <c r="L20" i="3" s="1"/>
  <c r="D35" i="3" a="1"/>
  <c r="D35" i="3" s="1"/>
  <c r="F35" i="3" s="1"/>
  <c r="E35" i="3" a="1"/>
  <c r="E35" i="3" s="1"/>
  <c r="G35" i="3" s="1"/>
  <c r="L22" i="3" a="1"/>
  <c r="L22" i="3" s="1"/>
  <c r="L48" i="3" a="1"/>
  <c r="L48" i="3" s="1"/>
  <c r="D34" i="3" a="1"/>
  <c r="D34" i="3" s="1"/>
  <c r="F34" i="3" s="1"/>
  <c r="E34" i="3" a="1"/>
  <c r="E34" i="3" s="1"/>
  <c r="G34" i="3" s="1"/>
  <c r="L33" i="3" a="1"/>
  <c r="L33" i="3" s="1"/>
  <c r="D33" i="3" a="1"/>
  <c r="D33" i="3" s="1"/>
  <c r="F33" i="3" s="1"/>
  <c r="E33" i="3" a="1"/>
  <c r="E33" i="3" s="1"/>
  <c r="G33" i="3" s="1"/>
  <c r="M33" i="3" a="1"/>
  <c r="M33" i="3" s="1"/>
  <c r="D31" i="3" a="1"/>
  <c r="D31" i="3" s="1"/>
  <c r="F31" i="3" s="1"/>
  <c r="E31" i="3" a="1"/>
  <c r="E31" i="3" s="1"/>
  <c r="G31" i="3" s="1"/>
  <c r="M31" i="3" a="1"/>
  <c r="M31" i="3" s="1"/>
  <c r="D32" i="3" a="1"/>
  <c r="D32" i="3" s="1"/>
  <c r="F32" i="3" s="1"/>
  <c r="E32" i="3" a="1"/>
  <c r="E32" i="3" s="1"/>
  <c r="G32" i="3" s="1"/>
  <c r="D38" i="3" a="1"/>
  <c r="D38" i="3" s="1"/>
  <c r="F38" i="3" s="1"/>
  <c r="E38" i="3" a="1"/>
  <c r="E38" i="3" s="1"/>
  <c r="G38" i="3" s="1"/>
  <c r="D37" i="3" a="1"/>
  <c r="D37" i="3" s="1"/>
  <c r="F37" i="3" s="1"/>
  <c r="E37" i="3" a="1"/>
  <c r="E37" i="3" s="1"/>
  <c r="G37" i="3" s="1"/>
  <c r="D50" i="3" a="1"/>
  <c r="D50" i="3" s="1"/>
  <c r="L32" i="3" a="1"/>
  <c r="L32" i="3" s="1"/>
  <c r="M32" i="3" a="1"/>
  <c r="M32" i="3" s="1"/>
  <c r="O32" i="3" s="1"/>
  <c r="L38" i="3" a="1"/>
  <c r="L38" i="3" s="1"/>
  <c r="M38" i="3" a="1"/>
  <c r="M38" i="3" s="1"/>
  <c r="O38" i="3" s="1"/>
  <c r="L37" i="3" a="1"/>
  <c r="L37" i="3" s="1"/>
  <c r="M37" i="3" a="1"/>
  <c r="M37" i="3" s="1"/>
  <c r="L31" i="3" a="1"/>
  <c r="L31" i="3" s="1"/>
  <c r="L36" i="3" a="1"/>
  <c r="L36" i="3" s="1"/>
  <c r="M36" i="3" a="1"/>
  <c r="M36" i="3" s="1"/>
  <c r="L35" i="3" a="1"/>
  <c r="L35" i="3" s="1"/>
  <c r="M35" i="3" a="1"/>
  <c r="M35" i="3" s="1"/>
  <c r="L34" i="3" a="1"/>
  <c r="L34" i="3" s="1"/>
  <c r="N34" i="3" s="1"/>
  <c r="M34" i="3" a="1"/>
  <c r="M34" i="3" s="1"/>
  <c r="C50" i="3" a="1"/>
  <c r="C50" i="3" s="1"/>
  <c r="D48" i="3" a="1"/>
  <c r="D48" i="3" s="1"/>
  <c r="K51" i="3" a="1"/>
  <c r="K51" i="3" s="1"/>
  <c r="L49" i="3" a="1"/>
  <c r="L49" i="3" s="1"/>
  <c r="C49" i="3" a="1"/>
  <c r="C49" i="3" s="1"/>
  <c r="C48" i="3" a="1"/>
  <c r="C48" i="3" s="1"/>
  <c r="D46" i="3" a="1"/>
  <c r="D46" i="3" s="1"/>
  <c r="K49" i="3" a="1"/>
  <c r="K49" i="3" s="1"/>
  <c r="L47" i="3" a="1"/>
  <c r="L47" i="3" s="1"/>
  <c r="C52" i="3" a="1"/>
  <c r="C52" i="3" s="1"/>
  <c r="D52" i="3" a="1"/>
  <c r="D52" i="3" s="1"/>
  <c r="K48" i="3" a="1"/>
  <c r="K48" i="3" s="1"/>
  <c r="L46" i="3" a="1"/>
  <c r="L46" i="3" s="1"/>
  <c r="C45" i="3" a="1"/>
  <c r="C45" i="3" s="1"/>
  <c r="D45" i="3" a="1"/>
  <c r="D45" i="3" s="1"/>
  <c r="K47" i="3" a="1"/>
  <c r="K47" i="3" s="1"/>
  <c r="L52" i="3" a="1"/>
  <c r="L52" i="3" s="1"/>
  <c r="C47" i="3" a="1"/>
  <c r="C47" i="3" s="1"/>
  <c r="H47" i="3" s="1"/>
  <c r="D51" i="3" a="1"/>
  <c r="D51" i="3" s="1"/>
  <c r="K45" i="3" a="1"/>
  <c r="K45" i="3" s="1"/>
  <c r="L45" i="3" a="1"/>
  <c r="L45" i="3" s="1"/>
  <c r="C46" i="3" a="1"/>
  <c r="C46" i="3" s="1"/>
  <c r="K46" i="3" a="1"/>
  <c r="K46" i="3" s="1"/>
  <c r="L51" i="3" a="1"/>
  <c r="L51" i="3" s="1"/>
  <c r="D26" i="3"/>
  <c r="F51" i="3" l="1"/>
  <c r="F52" i="3"/>
  <c r="N49" i="3"/>
  <c r="E4" i="7"/>
  <c r="O33" i="3"/>
  <c r="E2" i="7"/>
  <c r="O31" i="3"/>
  <c r="E8" i="7"/>
  <c r="O37" i="3"/>
  <c r="E7" i="7"/>
  <c r="O36" i="3"/>
  <c r="E6" i="7"/>
  <c r="O35" i="3"/>
  <c r="E5" i="7"/>
  <c r="O34" i="3"/>
  <c r="D4" i="7"/>
  <c r="N33" i="3"/>
  <c r="D3" i="7"/>
  <c r="N32" i="3"/>
  <c r="D9" i="7"/>
  <c r="N38" i="3"/>
  <c r="D8" i="7"/>
  <c r="N37" i="3"/>
  <c r="D2" i="7"/>
  <c r="N31" i="3"/>
  <c r="D7" i="7"/>
  <c r="N36" i="3"/>
  <c r="D6" i="7"/>
  <c r="N35" i="3"/>
  <c r="N4" i="3"/>
  <c r="H51" i="3"/>
  <c r="E9" i="7"/>
  <c r="P52" i="3"/>
  <c r="H45" i="3"/>
  <c r="H48" i="3"/>
  <c r="H50" i="3"/>
  <c r="P51" i="3"/>
  <c r="P47" i="3"/>
  <c r="P49" i="3"/>
  <c r="P48" i="3"/>
  <c r="H49" i="3"/>
  <c r="H52" i="3"/>
  <c r="P50" i="3"/>
  <c r="P45" i="3"/>
  <c r="H46" i="3"/>
  <c r="P46" i="3"/>
  <c r="C9" i="7"/>
  <c r="L26" i="3"/>
  <c r="E39" i="3"/>
  <c r="D39" i="3"/>
  <c r="C53" i="3"/>
  <c r="R45" i="3" s="1"/>
  <c r="M39" i="3"/>
  <c r="E3" i="7"/>
  <c r="L39" i="3"/>
  <c r="D5" i="7"/>
  <c r="K53" i="3"/>
  <c r="O50" i="3" s="1"/>
  <c r="L53" i="3"/>
  <c r="D53" i="3"/>
  <c r="C5" i="7"/>
  <c r="N48" i="3"/>
  <c r="F48" i="3"/>
  <c r="F47" i="3"/>
  <c r="N46" i="3"/>
  <c r="C3" i="7"/>
  <c r="F46" i="3"/>
  <c r="F49" i="3"/>
  <c r="C4" i="7"/>
  <c r="N47" i="3"/>
  <c r="F45" i="3"/>
  <c r="C8" i="7"/>
  <c r="N45" i="3"/>
  <c r="C2" i="7"/>
  <c r="C6" i="7"/>
  <c r="F50" i="3" l="1"/>
  <c r="E53" i="3"/>
  <c r="F53" i="3" s="1"/>
  <c r="H53" i="3"/>
  <c r="G50" i="3"/>
  <c r="C7" i="7"/>
  <c r="R50" i="3"/>
  <c r="R52" i="3"/>
  <c r="R46" i="3"/>
  <c r="R49" i="3"/>
  <c r="R47" i="3"/>
  <c r="R48" i="3"/>
  <c r="R51" i="3"/>
  <c r="C39" i="3"/>
  <c r="K39" i="3"/>
  <c r="D5" i="3" a="1"/>
  <c r="D5" i="3" s="1"/>
  <c r="F5" i="3" s="1"/>
  <c r="F24" i="3"/>
  <c r="F23" i="3"/>
  <c r="F22" i="3"/>
  <c r="F21" i="3"/>
  <c r="F20" i="3"/>
  <c r="C26" i="3"/>
  <c r="N17" i="3"/>
  <c r="M17" i="3"/>
  <c r="F17" i="3"/>
  <c r="C12" i="3"/>
  <c r="O3" i="3"/>
  <c r="N3" i="3"/>
  <c r="M18" i="3" l="1" a="1"/>
  <c r="M18" i="3" s="1"/>
  <c r="M19" i="3" a="1"/>
  <c r="M19" i="3" s="1"/>
  <c r="M20" i="3" a="1"/>
  <c r="M20" i="3" s="1"/>
  <c r="M21" i="3" a="1"/>
  <c r="M21" i="3" s="1"/>
  <c r="M22" i="3" a="1"/>
  <c r="M22" i="3" s="1"/>
  <c r="M23" i="3" a="1"/>
  <c r="M23" i="3" s="1"/>
  <c r="M24" i="3" a="1"/>
  <c r="M24" i="3" s="1"/>
  <c r="M25" i="3" a="1"/>
  <c r="M25" i="3" s="1"/>
  <c r="N50" i="3"/>
  <c r="F39" i="3"/>
  <c r="G39" i="3"/>
  <c r="O39" i="3"/>
  <c r="N39" i="3"/>
  <c r="R53" i="3"/>
  <c r="E1" i="6"/>
  <c r="Q36" i="3"/>
  <c r="K18" i="3" a="1"/>
  <c r="K18" i="3" s="1"/>
  <c r="K20" i="3" a="1"/>
  <c r="K20" i="3" s="1"/>
  <c r="K21" i="3" a="1"/>
  <c r="K21" i="3" s="1"/>
  <c r="K22" i="3" a="1"/>
  <c r="K22" i="3" s="1"/>
  <c r="P22" i="3" s="1"/>
  <c r="K23" i="3" a="1"/>
  <c r="K23" i="3" s="1"/>
  <c r="K24" i="3" a="1"/>
  <c r="K24" i="3" s="1"/>
  <c r="K25" i="3" a="1"/>
  <c r="K25" i="3" s="1"/>
  <c r="K19" i="3" a="1"/>
  <c r="K19" i="3" s="1"/>
  <c r="M11" i="3" a="1"/>
  <c r="M11" i="3" s="1"/>
  <c r="O11" i="3" s="1"/>
  <c r="M5" i="3" a="1"/>
  <c r="M5" i="3" s="1"/>
  <c r="M6" i="3" a="1"/>
  <c r="M6" i="3" s="1"/>
  <c r="M7" i="3" a="1"/>
  <c r="M7" i="3" s="1"/>
  <c r="O7" i="3" s="1"/>
  <c r="M8" i="3" a="1"/>
  <c r="M8" i="3" s="1"/>
  <c r="M9" i="3" a="1"/>
  <c r="M9" i="3" s="1"/>
  <c r="O9" i="3" s="1"/>
  <c r="M10" i="3" a="1"/>
  <c r="M10" i="3" s="1"/>
  <c r="O10" i="3" s="1"/>
  <c r="M4" i="3" a="1"/>
  <c r="M4" i="3" s="1"/>
  <c r="O4" i="3" s="1"/>
  <c r="F19" i="3"/>
  <c r="E12" i="3"/>
  <c r="G12" i="3" s="1"/>
  <c r="F25" i="3"/>
  <c r="F18" i="3"/>
  <c r="D10" i="3" a="1"/>
  <c r="D10" i="3" s="1"/>
  <c r="F10" i="3" s="1"/>
  <c r="D4" i="3" a="1"/>
  <c r="D4" i="3" s="1"/>
  <c r="F4" i="3" s="1"/>
  <c r="D9" i="3" a="1"/>
  <c r="D9" i="3" s="1"/>
  <c r="F9" i="3" s="1"/>
  <c r="D11" i="3" a="1"/>
  <c r="D11" i="3" s="1"/>
  <c r="F11" i="3" s="1"/>
  <c r="D8" i="3" a="1"/>
  <c r="D8" i="3" s="1"/>
  <c r="F8" i="3" s="1"/>
  <c r="D7" i="3" a="1"/>
  <c r="D7" i="3" s="1"/>
  <c r="F7" i="3" s="1"/>
  <c r="D6" i="3" a="1"/>
  <c r="D6" i="3" s="1"/>
  <c r="F6" i="3" s="1"/>
  <c r="F26" i="3"/>
  <c r="N51" i="3" l="1"/>
  <c r="N21" i="3"/>
  <c r="N18" i="3"/>
  <c r="E3" i="6"/>
  <c r="O5" i="3"/>
  <c r="E4" i="6"/>
  <c r="O6" i="3"/>
  <c r="E6" i="6"/>
  <c r="O8" i="3"/>
  <c r="C3" i="6"/>
  <c r="P19" i="3"/>
  <c r="C9" i="6"/>
  <c r="P25" i="3"/>
  <c r="C8" i="6"/>
  <c r="P24" i="3"/>
  <c r="C7" i="6"/>
  <c r="P23" i="3"/>
  <c r="C2" i="6"/>
  <c r="P18" i="3"/>
  <c r="C5" i="6"/>
  <c r="P21" i="3"/>
  <c r="C4" i="6"/>
  <c r="P20" i="3"/>
  <c r="D1" i="6"/>
  <c r="E9" i="6"/>
  <c r="E2" i="6"/>
  <c r="E8" i="6"/>
  <c r="E7" i="6"/>
  <c r="E5" i="6"/>
  <c r="C6" i="6"/>
  <c r="K12" i="3"/>
  <c r="K26" i="3"/>
  <c r="K57" i="3" s="1"/>
  <c r="N19" i="3"/>
  <c r="M12" i="3"/>
  <c r="L5" i="3" a="1"/>
  <c r="L5" i="3" s="1"/>
  <c r="N5" i="3" s="1"/>
  <c r="D2" i="6"/>
  <c r="L6" i="3" a="1"/>
  <c r="L6" i="3" s="1"/>
  <c r="N6" i="3" s="1"/>
  <c r="L7" i="3" a="1"/>
  <c r="L7" i="3" s="1"/>
  <c r="N7" i="3" s="1"/>
  <c r="L8" i="3" a="1"/>
  <c r="L8" i="3" s="1"/>
  <c r="N8" i="3" s="1"/>
  <c r="L9" i="3" a="1"/>
  <c r="L9" i="3" s="1"/>
  <c r="N9" i="3" s="1"/>
  <c r="L10" i="3" a="1"/>
  <c r="L10" i="3" s="1"/>
  <c r="N10" i="3" s="1"/>
  <c r="L11" i="3" a="1"/>
  <c r="L11" i="3" s="1"/>
  <c r="N11" i="3" s="1"/>
  <c r="D12" i="3"/>
  <c r="F12" i="3" s="1"/>
  <c r="N52" i="3" l="1"/>
  <c r="M53" i="3"/>
  <c r="N53" i="3" s="1"/>
  <c r="N22" i="3"/>
  <c r="N20" i="3"/>
  <c r="O12" i="3"/>
  <c r="K55" i="3"/>
  <c r="R4" i="3"/>
  <c r="C2" i="5" s="1"/>
  <c r="R7" i="3"/>
  <c r="C5" i="5" s="1"/>
  <c r="R8" i="3"/>
  <c r="C6" i="5" s="1"/>
  <c r="D7" i="6"/>
  <c r="D5" i="6"/>
  <c r="R5" i="3"/>
  <c r="C3" i="5" s="1"/>
  <c r="D4" i="6"/>
  <c r="D6" i="6"/>
  <c r="R10" i="3"/>
  <c r="C8" i="5" s="1"/>
  <c r="D3" i="6"/>
  <c r="D9" i="6"/>
  <c r="R6" i="3"/>
  <c r="C4" i="5" s="1"/>
  <c r="R11" i="3"/>
  <c r="C9" i="5" s="1"/>
  <c r="R9" i="3"/>
  <c r="C7" i="5" s="1"/>
  <c r="D8" i="6"/>
  <c r="L12" i="3"/>
  <c r="N12" i="3" s="1"/>
  <c r="N23" i="3" l="1"/>
  <c r="R12" i="3"/>
  <c r="N30" i="8"/>
  <c r="N25" i="3" l="1"/>
  <c r="N24" i="3"/>
  <c r="M26" i="3" l="1"/>
  <c r="N26" i="3" s="1"/>
</calcChain>
</file>

<file path=xl/sharedStrings.xml><?xml version="1.0" encoding="utf-8"?>
<sst xmlns="http://schemas.openxmlformats.org/spreadsheetml/2006/main" count="1791" uniqueCount="116">
  <si>
    <t>Year</t>
  </si>
  <si>
    <t>Month</t>
  </si>
  <si>
    <t>Period</t>
  </si>
  <si>
    <t>Code</t>
  </si>
  <si>
    <t>Product</t>
  </si>
  <si>
    <t>січень-вересень</t>
  </si>
  <si>
    <t>січень-серпень</t>
  </si>
  <si>
    <t>Молоко та вершки, не згущені</t>
  </si>
  <si>
    <t>Молоко та вершки, згущені</t>
  </si>
  <si>
    <t>Молочна сироватка</t>
  </si>
  <si>
    <t>Масло вершкове</t>
  </si>
  <si>
    <t>Сири</t>
  </si>
  <si>
    <t>січень-жовтень</t>
  </si>
  <si>
    <t>січень-листопад</t>
  </si>
  <si>
    <t>січень-грудень</t>
  </si>
  <si>
    <t>вересень</t>
  </si>
  <si>
    <t>серпень</t>
  </si>
  <si>
    <t>жовтень</t>
  </si>
  <si>
    <t>листопад</t>
  </si>
  <si>
    <t>грудень</t>
  </si>
  <si>
    <t>ЕКСПОРТ</t>
  </si>
  <si>
    <t>тонн</t>
  </si>
  <si>
    <t>тис. дол.</t>
  </si>
  <si>
    <t>Кисломолочні продукти</t>
  </si>
  <si>
    <t>Маслянка</t>
  </si>
  <si>
    <t>Морозиво</t>
  </si>
  <si>
    <t>Казеїн</t>
  </si>
  <si>
    <t>З поч. року</t>
  </si>
  <si>
    <t>Periods</t>
  </si>
  <si>
    <t>Січ.-вер. 2025</t>
  </si>
  <si>
    <t>Січ.-сер. 2025</t>
  </si>
  <si>
    <t>Січ.-вер. 2024</t>
  </si>
  <si>
    <t>Січ.-жов. 2024</t>
  </si>
  <si>
    <t>Січ.-лис. 2024</t>
  </si>
  <si>
    <t>Січ.-гру. 2024</t>
  </si>
  <si>
    <t>Січ.-жов. 2025</t>
  </si>
  <si>
    <t>Січ.-лис. 2025</t>
  </si>
  <si>
    <t>поточна</t>
  </si>
  <si>
    <t>мин. рік</t>
  </si>
  <si>
    <t>попередня</t>
  </si>
  <si>
    <t>ІМПОРТ</t>
  </si>
  <si>
    <t>сальдо місяць</t>
  </si>
  <si>
    <t>сальдо рік</t>
  </si>
  <si>
    <t>ВРХ</t>
  </si>
  <si>
    <t>М'ясо ВРХ охолоджене</t>
  </si>
  <si>
    <t>М'ясо ВРХ морожене</t>
  </si>
  <si>
    <t>Export share</t>
  </si>
  <si>
    <t>Import share</t>
  </si>
  <si>
    <t>Січ.-гру. 2025</t>
  </si>
  <si>
    <t>Січ.-гру. 2020</t>
  </si>
  <si>
    <t>Січ.-гру. 2021</t>
  </si>
  <si>
    <t>Січ.-гру. 2022</t>
  </si>
  <si>
    <t>Січ.-гру. 2023</t>
  </si>
  <si>
    <t>липень</t>
  </si>
  <si>
    <t>червень</t>
  </si>
  <si>
    <t>травень</t>
  </si>
  <si>
    <t>квітень</t>
  </si>
  <si>
    <t>березень</t>
  </si>
  <si>
    <t>лютий</t>
  </si>
  <si>
    <t>січень</t>
  </si>
  <si>
    <t>Date</t>
  </si>
  <si>
    <t>Export_Tons</t>
  </si>
  <si>
    <t>Import_Tons</t>
  </si>
  <si>
    <t>Import_USD_k</t>
  </si>
  <si>
    <t>Balance_USD_k</t>
  </si>
  <si>
    <t>Export_USD_k</t>
  </si>
  <si>
    <t>Польща</t>
  </si>
  <si>
    <t>Німеччина</t>
  </si>
  <si>
    <t>Казахстан</t>
  </si>
  <si>
    <t>Болгарія</t>
  </si>
  <si>
    <t>Ізраїль</t>
  </si>
  <si>
    <t>Азербайджан</t>
  </si>
  <si>
    <t>country</t>
  </si>
  <si>
    <t>value</t>
  </si>
  <si>
    <t>Грузія</t>
  </si>
  <si>
    <t>січень-січень</t>
  </si>
  <si>
    <t>Січ.-січ. 2026</t>
  </si>
  <si>
    <t>місяць</t>
  </si>
  <si>
    <t>26/26</t>
  </si>
  <si>
    <t>26/25</t>
  </si>
  <si>
    <t>Січ.-січ. 2025</t>
  </si>
  <si>
    <t>Month2</t>
  </si>
  <si>
    <t>січень-лютий</t>
  </si>
  <si>
    <t>Січ.-лют. 2026</t>
  </si>
  <si>
    <t>Січ.-лют. 2025</t>
  </si>
  <si>
    <t>Month_1</t>
  </si>
  <si>
    <t>Січ.-бер. 2026</t>
  </si>
  <si>
    <t>січень-березень</t>
  </si>
  <si>
    <t>Січ.-бер. 2025</t>
  </si>
  <si>
    <t>США</t>
  </si>
  <si>
    <t>Молдова</t>
  </si>
  <si>
    <t>Ліван</t>
  </si>
  <si>
    <t>Лівія</t>
  </si>
  <si>
    <t>Йорданія</t>
  </si>
  <si>
    <t>Морозиво та інші види харчового льоду</t>
  </si>
  <si>
    <t>січень-квітень</t>
  </si>
  <si>
    <t>Січ.-кві. 2026</t>
  </si>
  <si>
    <t>Січ.-кві. 2025</t>
  </si>
  <si>
    <t>flow</t>
  </si>
  <si>
    <t>metrics</t>
  </si>
  <si>
    <t>Січ.-тра. 2026</t>
  </si>
  <si>
    <t>січень-травень</t>
  </si>
  <si>
    <t>Січ.-тра. 2025</t>
  </si>
  <si>
    <t>січень-червень</t>
  </si>
  <si>
    <t>Січ.-чер. 2026</t>
  </si>
  <si>
    <t>Січ.-чер. 2025</t>
  </si>
  <si>
    <t>Литва</t>
  </si>
  <si>
    <t>Саудівська Аравія</t>
  </si>
  <si>
    <t>січень-липень</t>
  </si>
  <si>
    <t>Січ.-лип. 2026</t>
  </si>
  <si>
    <t>Січ.-лип. 2025</t>
  </si>
  <si>
    <t>4689</t>
  </si>
  <si>
    <t>5676</t>
  </si>
  <si>
    <t>3861</t>
  </si>
  <si>
    <t>Січ.-сер. 2026</t>
  </si>
  <si>
    <t>Січ.-вер.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</si>
</sst>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[$-422]mmm/\ yyyy"/>
    <numFmt numFmtId="166" formatCode="dd\.mm\.yyyy;@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204"/>
      <scheme val="minor"/>
    </font>
    <font>
      <sz val="10"/>
      <color rgb="FF000000"/>
      <name val="Times New Roman"/>
      <family val="1"/>
      <charset val="204"/>
    </font>
    <font>
      <sz val="8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1" fillId="0" borderId="0"/>
    <xf numFmtId="0" fontId="5" fillId="0" borderId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2" fillId="0" borderId="0" xfId="0" applyFont="1"/>
    <xf numFmtId="0" fontId="2" fillId="0" borderId="0" xfId="2" applyFont="1"/>
    <xf numFmtId="0" fontId="3" fillId="0" borderId="0" xfId="2"/>
    <xf numFmtId="1" fontId="0" fillId="0" borderId="0" xfId="0" applyNumberFormat="1"/>
    <xf numFmtId="9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4" fillId="0" borderId="0" xfId="0" applyFont="1"/>
    <xf numFmtId="165" fontId="0" fillId="2" borderId="0" xfId="0" applyNumberFormat="1" applyFill="1"/>
    <xf numFmtId="165" fontId="0" fillId="3" borderId="0" xfId="0" applyNumberFormat="1" applyFill="1"/>
    <xf numFmtId="0" fontId="0" fillId="2" borderId="0" xfId="0" applyFill="1"/>
    <xf numFmtId="0" fontId="0" fillId="4" borderId="0" xfId="0" applyFill="1"/>
    <xf numFmtId="165" fontId="0" fillId="4" borderId="0" xfId="0" applyNumberFormat="1" applyFill="1"/>
    <xf numFmtId="0" fontId="0" fillId="3" borderId="0" xfId="0" applyFill="1"/>
    <xf numFmtId="0" fontId="2" fillId="2" borderId="0" xfId="0" applyFont="1" applyFill="1"/>
    <xf numFmtId="0" fontId="2" fillId="4" borderId="0" xfId="0" applyFont="1" applyFill="1"/>
    <xf numFmtId="0" fontId="2" fillId="3" borderId="0" xfId="0" applyFont="1" applyFill="1"/>
    <xf numFmtId="0" fontId="1" fillId="0" borderId="0" xfId="3"/>
    <xf numFmtId="9" fontId="1" fillId="0" borderId="0" xfId="5" applyFont="1"/>
    <xf numFmtId="0" fontId="0" fillId="7" borderId="0" xfId="0" applyFill="1"/>
    <xf numFmtId="0" fontId="0" fillId="5" borderId="0" xfId="0" applyFill="1"/>
    <xf numFmtId="0" fontId="0" fillId="6" borderId="0" xfId="0" applyFill="1"/>
    <xf numFmtId="1" fontId="1" fillId="0" borderId="0" xfId="3" applyNumberFormat="1"/>
    <xf numFmtId="0" fontId="1" fillId="0" borderId="0" xfId="7"/>
    <xf numFmtId="9" fontId="1" fillId="0" borderId="0" xfId="7" applyNumberFormat="1"/>
    <xf numFmtId="0" fontId="5" fillId="0" borderId="0" xfId="4" applyAlignment="1">
      <alignment horizontal="left" vertical="top"/>
    </xf>
    <xf numFmtId="1" fontId="1" fillId="0" borderId="0" xfId="7" applyNumberFormat="1"/>
    <xf numFmtId="9" fontId="1" fillId="0" borderId="0" xfId="1" applyFont="1"/>
    <xf numFmtId="9" fontId="0" fillId="0" borderId="0" xfId="1" applyFont="1"/>
    <xf numFmtId="166" fontId="2" fillId="0" borderId="0" xfId="2" applyNumberFormat="1" applyFont="1"/>
    <xf numFmtId="166" fontId="3" fillId="0" borderId="0" xfId="2" applyNumberFormat="1"/>
    <xf numFmtId="17" fontId="3" fillId="0" borderId="0" xfId="2" applyNumberFormat="1"/>
    <xf numFmtId="0" fontId="1" fillId="0" borderId="0" xfId="2" applyFont="1"/>
    <xf numFmtId="0" fontId="3" fillId="0" borderId="0" xfId="2" applyAlignment="1">
      <alignment horizontal="right"/>
    </xf>
    <xf numFmtId="17" fontId="0" fillId="0" borderId="0" xfId="0" applyNumberFormat="1"/>
    <xf numFmtId="165" fontId="1" fillId="0" borderId="0" xfId="3" applyNumberFormat="1"/>
    <xf numFmtId="0" fontId="0" fillId="8" borderId="0" xfId="0" applyFill="1"/>
    <xf numFmtId="165" fontId="1" fillId="0" borderId="0" xfId="7" applyNumberFormat="1"/>
    <xf numFmtId="2" fontId="3" fillId="0" borderId="0" xfId="2" applyNumberFormat="1"/>
    <xf numFmtId="14" fontId="2" fillId="0" borderId="0" xfId="0" applyNumberFormat="1" applyFont="1"/>
    <xf numFmtId="14" fontId="0" fillId="0" borderId="0" xfId="0" applyNumberFormat="1"/>
  </cellXfs>
  <cellStyles count="9">
    <cellStyle name="Відсотковий" xfId="1" builtinId="5"/>
    <cellStyle name="Звичайний" xfId="0" builtinId="0"/>
    <cellStyle name="Обычный 2 2" xfId="4" xr:uid="{D04C986E-1650-4BFD-B6B8-735C6CBDE3C1}"/>
    <cellStyle name="Обычный 2 3" xfId="3" xr:uid="{454E45CA-121D-4DF5-AC08-DD99FD34D808}"/>
    <cellStyle name="Обычный 3" xfId="2" xr:uid="{9A671E80-ADF1-435E-BC01-52485A65BE36}"/>
    <cellStyle name="Обычный 3 2" xfId="7" xr:uid="{035720EF-8D65-41EE-9A46-7C6F9F6CBE3A}"/>
    <cellStyle name="Процентный 2" xfId="5" xr:uid="{E2BBE928-99ED-4E71-AE44-758D360513FC}"/>
    <cellStyle name="Процентный 3" xfId="6" xr:uid="{93DCE927-F6FA-4C3B-B019-918D8CB80775}"/>
    <cellStyle name="Процентный 3 2" xfId="8" xr:uid="{051A536F-84AF-4110-A260-141DC45EA549}"/>
  </cellStyles>
  <dxfs count="7">
    <dxf>
      <numFmt numFmtId="0" formatCode="General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</dxf>
    <dxf>
      <alignment horizontal="right" vertical="bottom" textRotation="0" wrapText="0" indent="0" justifyLastLine="0" shrinkToFit="0" readingOrder="0"/>
    </dxf>
    <dxf>
      <numFmt numFmtId="22" formatCode="mmm/yy"/>
    </dxf>
    <dxf>
      <numFmt numFmtId="166" formatCode="dd\.mm\.yy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.xml"/><Relationship Id="rId1" Type="http://schemas.openxmlformats.org/officeDocument/2006/relationships/themeOverride" Target="../theme/themeOverride1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7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8.xml"/><Relationship Id="rId1" Type="http://schemas.openxmlformats.org/officeDocument/2006/relationships/themeOverride" Target="../theme/themeOverride4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uk-UA" b="1">
                <a:solidFill>
                  <a:schemeClr val="tx1"/>
                </a:solidFill>
              </a:rPr>
              <a:t>Географія</a:t>
            </a:r>
            <a:r>
              <a:rPr lang="uk-UA" b="1" baseline="0">
                <a:solidFill>
                  <a:schemeClr val="tx1"/>
                </a:solidFill>
              </a:rPr>
              <a:t> експорту </a:t>
            </a:r>
            <a:r>
              <a:rPr lang="ru-RU" b="1" baseline="0">
                <a:solidFill>
                  <a:schemeClr val="tx1"/>
                </a:solidFill>
              </a:rPr>
              <a:t>ВРХ</a:t>
            </a:r>
            <a:r>
              <a:rPr lang="uk-UA" b="1" baseline="0">
                <a:solidFill>
                  <a:schemeClr val="tx1"/>
                </a:solidFill>
              </a:rPr>
              <a:t>, тис. дол.</a:t>
            </a:r>
            <a:endParaRPr lang="uk-UA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UA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country!$A$2:$A$6</c:f>
              <c:strCache>
                <c:ptCount val="5"/>
                <c:pt idx="0">
                  <c:v>Лівія</c:v>
                </c:pt>
                <c:pt idx="1">
                  <c:v>Саудівська Аравія</c:v>
                </c:pt>
                <c:pt idx="2">
                  <c:v>Йорданія</c:v>
                </c:pt>
                <c:pt idx="3">
                  <c:v>Казахстан</c:v>
                </c:pt>
                <c:pt idx="4">
                  <c:v>Ліван</c:v>
                </c:pt>
              </c:strCache>
            </c:strRef>
          </c:cat>
          <c:val>
            <c:numRef>
              <c:f>country!$D$2:$D$6</c:f>
              <c:numCache>
                <c:formatCode>General</c:formatCode>
                <c:ptCount val="5"/>
                <c:pt idx="0">
                  <c:v>702</c:v>
                </c:pt>
                <c:pt idx="1">
                  <c:v>714</c:v>
                </c:pt>
                <c:pt idx="2">
                  <c:v>786</c:v>
                </c:pt>
                <c:pt idx="3">
                  <c:v>1179</c:v>
                </c:pt>
                <c:pt idx="4">
                  <c:v>31869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3F-4C5F-AA4B-B23B5D116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90117952"/>
        <c:axId val="490122752"/>
      </c:barChart>
      <c:catAx>
        <c:axId val="490117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490122752"/>
        <c:crosses val="autoZero"/>
        <c:auto val="1"/>
        <c:lblAlgn val="ctr"/>
        <c:lblOffset val="100"/>
        <c:noMultiLvlLbl val="0"/>
      </c:catAx>
      <c:valAx>
        <c:axId val="490122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uk-UA" sz="1000" b="1">
                    <a:solidFill>
                      <a:schemeClr val="tx1"/>
                    </a:solidFill>
                  </a:rPr>
                  <a:t>Джерело:</a:t>
                </a:r>
                <a:r>
                  <a:rPr lang="uk-UA" sz="1000" b="1" baseline="0">
                    <a:solidFill>
                      <a:schemeClr val="tx1"/>
                    </a:solidFill>
                  </a:rPr>
                  <a:t> дослідження АВМ за даними Держмитслужби</a:t>
                </a:r>
                <a:endParaRPr lang="ru-UA" sz="10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1.7540217447984563E-2"/>
              <c:y val="0.950152697914195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490117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uk-UA" b="1">
                <a:solidFill>
                  <a:schemeClr val="tx1"/>
                </a:solidFill>
              </a:rPr>
              <a:t>Географія</a:t>
            </a:r>
            <a:r>
              <a:rPr lang="uk-UA" b="1" baseline="0">
                <a:solidFill>
                  <a:schemeClr val="tx1"/>
                </a:solidFill>
              </a:rPr>
              <a:t> експорту молочних продуктів, тис. дол.</a:t>
            </a:r>
            <a:endParaRPr lang="uk-UA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UA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'country dairy'!$A$2:$A$11</c:f>
              <c:strCache>
                <c:ptCount val="10"/>
                <c:pt idx="0">
                  <c:v>Грузія</c:v>
                </c:pt>
                <c:pt idx="1">
                  <c:v>Литва</c:v>
                </c:pt>
                <c:pt idx="2">
                  <c:v>США</c:v>
                </c:pt>
                <c:pt idx="3">
                  <c:v>Азербайджан</c:v>
                </c:pt>
                <c:pt idx="4">
                  <c:v>Ізраїль</c:v>
                </c:pt>
                <c:pt idx="5">
                  <c:v>Казахстан</c:v>
                </c:pt>
                <c:pt idx="6">
                  <c:v>Болгарія</c:v>
                </c:pt>
                <c:pt idx="7">
                  <c:v>Німеччина</c:v>
                </c:pt>
                <c:pt idx="8">
                  <c:v>Польща</c:v>
                </c:pt>
                <c:pt idx="9">
                  <c:v>Молдова</c:v>
                </c:pt>
              </c:strCache>
            </c:strRef>
          </c:cat>
          <c:val>
            <c:numRef>
              <c:f>'country dairy'!$D$2:$D$11</c:f>
              <c:numCache>
                <c:formatCode>General</c:formatCode>
                <c:ptCount val="10"/>
                <c:pt idx="0">
                  <c:v>7232</c:v>
                </c:pt>
                <c:pt idx="1">
                  <c:v>8069</c:v>
                </c:pt>
                <c:pt idx="2">
                  <c:v>8324</c:v>
                </c:pt>
                <c:pt idx="3">
                  <c:v>9030</c:v>
                </c:pt>
                <c:pt idx="4">
                  <c:v>12402</c:v>
                </c:pt>
                <c:pt idx="5">
                  <c:v>13897</c:v>
                </c:pt>
                <c:pt idx="6">
                  <c:v>14792</c:v>
                </c:pt>
                <c:pt idx="7">
                  <c:v>32992</c:v>
                </c:pt>
                <c:pt idx="8">
                  <c:v>37258</c:v>
                </c:pt>
                <c:pt idx="9">
                  <c:v>66812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14-4888-8327-172D98170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90117952"/>
        <c:axId val="490122752"/>
      </c:barChart>
      <c:catAx>
        <c:axId val="490117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490122752"/>
        <c:crosses val="autoZero"/>
        <c:auto val="1"/>
        <c:lblAlgn val="ctr"/>
        <c:lblOffset val="100"/>
        <c:noMultiLvlLbl val="0"/>
      </c:catAx>
      <c:valAx>
        <c:axId val="490122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uk-UA" sz="1000" b="1">
                    <a:solidFill>
                      <a:schemeClr val="tx1"/>
                    </a:solidFill>
                  </a:rPr>
                  <a:t>Джерело:</a:t>
                </a:r>
                <a:r>
                  <a:rPr lang="uk-UA" sz="1000" b="1" baseline="0">
                    <a:solidFill>
                      <a:schemeClr val="tx1"/>
                    </a:solidFill>
                  </a:rPr>
                  <a:t> дослідження АВМ за даними Держмитслужби</a:t>
                </a:r>
                <a:endParaRPr lang="ru-UA" sz="10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1.7540217447984563E-2"/>
              <c:y val="0.950152697914195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490117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uk-UA" b="1">
                <a:solidFill>
                  <a:schemeClr val="tx1"/>
                </a:solidFill>
              </a:rPr>
              <a:t>Географія</a:t>
            </a:r>
            <a:r>
              <a:rPr lang="uk-UA" b="1" baseline="0">
                <a:solidFill>
                  <a:schemeClr val="tx1"/>
                </a:solidFill>
              </a:rPr>
              <a:t> експорту молочних продуктів, тис. дол.</a:t>
            </a:r>
            <a:endParaRPr lang="uk-UA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UA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'country dairy'!$A$2:$A$11</c:f>
              <c:strCache>
                <c:ptCount val="10"/>
                <c:pt idx="0">
                  <c:v>Грузія</c:v>
                </c:pt>
                <c:pt idx="1">
                  <c:v>Литва</c:v>
                </c:pt>
                <c:pt idx="2">
                  <c:v>США</c:v>
                </c:pt>
                <c:pt idx="3">
                  <c:v>Азербайджан</c:v>
                </c:pt>
                <c:pt idx="4">
                  <c:v>Ізраїль</c:v>
                </c:pt>
                <c:pt idx="5">
                  <c:v>Казахстан</c:v>
                </c:pt>
                <c:pt idx="6">
                  <c:v>Болгарія</c:v>
                </c:pt>
                <c:pt idx="7">
                  <c:v>Німеччина</c:v>
                </c:pt>
                <c:pt idx="8">
                  <c:v>Польща</c:v>
                </c:pt>
                <c:pt idx="9">
                  <c:v>Молдова</c:v>
                </c:pt>
              </c:strCache>
            </c:strRef>
          </c:cat>
          <c:val>
            <c:numRef>
              <c:f>'country dairy'!$D$2:$D$11</c:f>
              <c:numCache>
                <c:formatCode>General</c:formatCode>
                <c:ptCount val="10"/>
                <c:pt idx="0">
                  <c:v>7232</c:v>
                </c:pt>
                <c:pt idx="1">
                  <c:v>8069</c:v>
                </c:pt>
                <c:pt idx="2">
                  <c:v>8324</c:v>
                </c:pt>
                <c:pt idx="3">
                  <c:v>9030</c:v>
                </c:pt>
                <c:pt idx="4">
                  <c:v>12402</c:v>
                </c:pt>
                <c:pt idx="5">
                  <c:v>13897</c:v>
                </c:pt>
                <c:pt idx="6">
                  <c:v>14792</c:v>
                </c:pt>
                <c:pt idx="7">
                  <c:v>32992</c:v>
                </c:pt>
                <c:pt idx="8">
                  <c:v>37258</c:v>
                </c:pt>
                <c:pt idx="9">
                  <c:v>66812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14-4888-8327-172D98170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90117952"/>
        <c:axId val="490122752"/>
      </c:barChart>
      <c:catAx>
        <c:axId val="490117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490122752"/>
        <c:crosses val="autoZero"/>
        <c:auto val="1"/>
        <c:lblAlgn val="ctr"/>
        <c:lblOffset val="100"/>
        <c:noMultiLvlLbl val="0"/>
      </c:catAx>
      <c:valAx>
        <c:axId val="490122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uk-UA" sz="1000" b="1">
                    <a:solidFill>
                      <a:schemeClr val="tx1"/>
                    </a:solidFill>
                  </a:rPr>
                  <a:t>Джерело:</a:t>
                </a:r>
                <a:r>
                  <a:rPr lang="uk-UA" sz="1000" b="1" baseline="0">
                    <a:solidFill>
                      <a:schemeClr val="tx1"/>
                    </a:solidFill>
                  </a:rPr>
                  <a:t> дослідження АВМ за даними Держмитслужби</a:t>
                </a:r>
                <a:endParaRPr lang="ru-UA" sz="10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1.7540217447984563E-2"/>
              <c:y val="0.950152697914195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490117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 b="1">
                <a:solidFill>
                  <a:sysClr val="windowText" lastClr="000000"/>
                </a:solidFill>
              </a:rPr>
              <a:t>Структура експорту молочних продуктів</a:t>
            </a:r>
          </a:p>
        </c:rich>
      </c:tx>
      <c:layout>
        <c:manualLayout>
          <c:xMode val="edge"/>
          <c:yMode val="edge"/>
          <c:x val="0.25465450355290953"/>
          <c:y val="1.581532571586446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2260841721095501"/>
          <c:y val="8.8987959218999255E-2"/>
          <c:w val="0.4055808364863483"/>
          <c:h val="0.65677653857936524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79646">
                  <a:lumMod val="75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069-48CE-BA17-2E8EAC246A92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069-48CE-BA17-2E8EAC246A92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069-48CE-BA17-2E8EAC246A92}"/>
              </c:ext>
            </c:extLst>
          </c:dPt>
          <c:dPt>
            <c:idx val="3"/>
            <c:bubble3D val="0"/>
            <c:spPr>
              <a:solidFill>
                <a:srgbClr val="EEECE1">
                  <a:lumMod val="5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069-48CE-BA17-2E8EAC246A92}"/>
              </c:ext>
            </c:extLst>
          </c:dPt>
          <c:dPt>
            <c:idx val="4"/>
            <c:bubble3D val="0"/>
            <c:spPr>
              <a:solidFill>
                <a:srgbClr val="9BBB59">
                  <a:lumMod val="75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069-48CE-BA17-2E8EAC246A92}"/>
              </c:ext>
            </c:extLst>
          </c:dPt>
          <c:dPt>
            <c:idx val="5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069-48CE-BA17-2E8EAC246A92}"/>
              </c:ext>
            </c:extLst>
          </c:dPt>
          <c:dPt>
            <c:idx val="6"/>
            <c:bubble3D val="0"/>
            <c:spPr>
              <a:solidFill>
                <a:srgbClr val="8064A2">
                  <a:lumMod val="60000"/>
                  <a:lumOff val="4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069-48CE-BA17-2E8EAC246A92}"/>
              </c:ext>
            </c:extLst>
          </c:dPt>
          <c:dPt>
            <c:idx val="7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069-48CE-BA17-2E8EAC246A92}"/>
              </c:ext>
            </c:extLst>
          </c:dPt>
          <c:dLbls>
            <c:dLbl>
              <c:idx val="0"/>
              <c:layout>
                <c:manualLayout>
                  <c:x val="-4.9688240189488513E-3"/>
                  <c:y val="6.1022043297219407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069-48CE-BA17-2E8EAC246A92}"/>
                </c:ext>
              </c:extLst>
            </c:dLbl>
            <c:dLbl>
              <c:idx val="7"/>
              <c:layout>
                <c:manualLayout>
                  <c:x val="6.7948274758338131E-3"/>
                  <c:y val="4.18802912793795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069-48CE-BA17-2E8EAC246A92}"/>
                </c:ext>
              </c:extLst>
            </c:dLbl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UA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'd1'!$B$2:$B$9</c:f>
              <c:strCache>
                <c:ptCount val="8"/>
                <c:pt idx="0">
                  <c:v>Молоко та вершки, не згущені</c:v>
                </c:pt>
                <c:pt idx="1">
                  <c:v>Молоко та вершки, згущені</c:v>
                </c:pt>
                <c:pt idx="2">
                  <c:v>Кисломолочні продукти</c:v>
                </c:pt>
                <c:pt idx="3">
                  <c:v>Молочна сироватка</c:v>
                </c:pt>
                <c:pt idx="4">
                  <c:v>Масло вершкове</c:v>
                </c:pt>
                <c:pt idx="5">
                  <c:v>Сири</c:v>
                </c:pt>
                <c:pt idx="6">
                  <c:v>Морозиво</c:v>
                </c:pt>
                <c:pt idx="7">
                  <c:v>Казеїн</c:v>
                </c:pt>
              </c:strCache>
            </c:strRef>
          </c:cat>
          <c:val>
            <c:numRef>
              <c:f>'d1'!$C$2:$C$9</c:f>
              <c:numCache>
                <c:formatCode>0%</c:formatCode>
                <c:ptCount val="8"/>
                <c:pt idx="0">
                  <c:v>6.5167115476001902E-2</c:v>
                </c:pt>
                <c:pt idx="1">
                  <c:v>0.31180104546174559</c:v>
                </c:pt>
                <c:pt idx="2">
                  <c:v>2.9431332171709172E-2</c:v>
                </c:pt>
                <c:pt idx="3">
                  <c:v>8.2591477902740379E-2</c:v>
                </c:pt>
                <c:pt idx="4">
                  <c:v>0.12995406304451132</c:v>
                </c:pt>
                <c:pt idx="5">
                  <c:v>0.22968477744337082</c:v>
                </c:pt>
                <c:pt idx="6">
                  <c:v>9.4440044352922539E-2</c:v>
                </c:pt>
                <c:pt idx="7">
                  <c:v>5.6930144146998256E-2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8069-48CE-BA17-2E8EAC246A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6.082453107995647E-3"/>
          <c:y val="0.74489412507647068"/>
          <c:w val="0.97958658216503414"/>
          <c:h val="0.1629530519211414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UA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  <c:printSettings>
    <c:headerFooter/>
    <c:pageMargins b="0.75" l="0.7" r="0.7" t="0.75" header="0.3" footer="0.3"/>
    <c:pageSetup/>
  </c:printSettings>
  <c:userShapes r:id="rId2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 b="1">
                <a:solidFill>
                  <a:sysClr val="windowText" lastClr="000000"/>
                </a:solidFill>
              </a:rPr>
              <a:t>Динаміка експорту молочних продуктів, тис. дол.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4216550225907734E-2"/>
          <c:y val="0.14089032115324282"/>
          <c:w val="0.92102231182454852"/>
          <c:h val="0.7060465335479474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'd2'!$E$1</c:f>
              <c:strCache>
                <c:ptCount val="1"/>
                <c:pt idx="0">
                  <c:v>Вер. 2025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ru-UA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'd2'!$B$2:$B$9</c:f>
              <c:strCache>
                <c:ptCount val="8"/>
                <c:pt idx="0">
                  <c:v>Молоко та вершки, не згущені</c:v>
                </c:pt>
                <c:pt idx="1">
                  <c:v>Молоко та вершки, згущені</c:v>
                </c:pt>
                <c:pt idx="2">
                  <c:v>Кисломолочні продукти</c:v>
                </c:pt>
                <c:pt idx="3">
                  <c:v>Молочна сироватка</c:v>
                </c:pt>
                <c:pt idx="4">
                  <c:v>Масло вершкове</c:v>
                </c:pt>
                <c:pt idx="5">
                  <c:v>Сири</c:v>
                </c:pt>
                <c:pt idx="6">
                  <c:v>Морозиво</c:v>
                </c:pt>
                <c:pt idx="7">
                  <c:v>Казеїн</c:v>
                </c:pt>
              </c:strCache>
            </c:strRef>
          </c:cat>
          <c:val>
            <c:numRef>
              <c:f>'d2'!$E$2:$E$9</c:f>
              <c:numCache>
                <c:formatCode>General</c:formatCode>
                <c:ptCount val="8"/>
                <c:pt idx="0">
                  <c:v>1709</c:v>
                </c:pt>
                <c:pt idx="1">
                  <c:v>4560</c:v>
                </c:pt>
                <c:pt idx="2">
                  <c:v>936</c:v>
                </c:pt>
                <c:pt idx="3">
                  <c:v>1136</c:v>
                </c:pt>
                <c:pt idx="4">
                  <c:v>6855</c:v>
                </c:pt>
                <c:pt idx="5">
                  <c:v>5465</c:v>
                </c:pt>
                <c:pt idx="6">
                  <c:v>2601</c:v>
                </c:pt>
                <c:pt idx="7">
                  <c:v>1873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59-4BA8-8F18-ECA12E772321}"/>
            </c:ext>
          </c:extLst>
        </c:ser>
        <c:ser>
          <c:idx val="1"/>
          <c:order val="1"/>
          <c:tx>
            <c:strRef>
              <c:f>'d2'!$D$1</c:f>
              <c:strCache>
                <c:ptCount val="1"/>
                <c:pt idx="0">
                  <c:v>Сер. 2026</c:v>
                </c:pt>
              </c:strCache>
            </c:strRef>
          </c:tx>
          <c:spPr>
            <a:solidFill>
              <a:srgbClr val="9BBB59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UA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'd2'!$B$2:$B$9</c:f>
              <c:strCache>
                <c:ptCount val="8"/>
                <c:pt idx="0">
                  <c:v>Молоко та вершки, не згущені</c:v>
                </c:pt>
                <c:pt idx="1">
                  <c:v>Молоко та вершки, згущені</c:v>
                </c:pt>
                <c:pt idx="2">
                  <c:v>Кисломолочні продукти</c:v>
                </c:pt>
                <c:pt idx="3">
                  <c:v>Молочна сироватка</c:v>
                </c:pt>
                <c:pt idx="4">
                  <c:v>Масло вершкове</c:v>
                </c:pt>
                <c:pt idx="5">
                  <c:v>Сири</c:v>
                </c:pt>
                <c:pt idx="6">
                  <c:v>Морозиво</c:v>
                </c:pt>
                <c:pt idx="7">
                  <c:v>Казеїн</c:v>
                </c:pt>
              </c:strCache>
            </c:strRef>
          </c:cat>
          <c:val>
            <c:numRef>
              <c:f>'d2'!$D$2:$D$9</c:f>
              <c:numCache>
                <c:formatCode>General</c:formatCode>
                <c:ptCount val="8"/>
                <c:pt idx="0">
                  <c:v>1510</c:v>
                </c:pt>
                <c:pt idx="1">
                  <c:v>7759</c:v>
                </c:pt>
                <c:pt idx="2">
                  <c:v>1073</c:v>
                </c:pt>
                <c:pt idx="3">
                  <c:v>2241</c:v>
                </c:pt>
                <c:pt idx="4">
                  <c:v>3270</c:v>
                </c:pt>
                <c:pt idx="5">
                  <c:v>5246</c:v>
                </c:pt>
                <c:pt idx="6">
                  <c:v>7963</c:v>
                </c:pt>
                <c:pt idx="7">
                  <c:v>1456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59-4BA8-8F18-ECA12E772321}"/>
            </c:ext>
          </c:extLst>
        </c:ser>
        <c:ser>
          <c:idx val="2"/>
          <c:order val="2"/>
          <c:tx>
            <c:strRef>
              <c:f>'d2'!$C$1</c:f>
              <c:strCache>
                <c:ptCount val="1"/>
                <c:pt idx="0">
                  <c:v>Вер. 2026</c:v>
                </c:pt>
              </c:strCache>
            </c:strRef>
          </c:tx>
          <c:spPr>
            <a:solidFill>
              <a:srgbClr val="4BACC6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5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UA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'd2'!$B$2:$B$9</c:f>
              <c:strCache>
                <c:ptCount val="8"/>
                <c:pt idx="0">
                  <c:v>Молоко та вершки, не згущені</c:v>
                </c:pt>
                <c:pt idx="1">
                  <c:v>Молоко та вершки, згущені</c:v>
                </c:pt>
                <c:pt idx="2">
                  <c:v>Кисломолочні продукти</c:v>
                </c:pt>
                <c:pt idx="3">
                  <c:v>Молочна сироватка</c:v>
                </c:pt>
                <c:pt idx="4">
                  <c:v>Масло вершкове</c:v>
                </c:pt>
                <c:pt idx="5">
                  <c:v>Сири</c:v>
                </c:pt>
                <c:pt idx="6">
                  <c:v>Морозиво</c:v>
                </c:pt>
                <c:pt idx="7">
                  <c:v>Казеїн</c:v>
                </c:pt>
              </c:strCache>
            </c:strRef>
          </c:cat>
          <c:val>
            <c:numRef>
              <c:f>'d2'!$C$2:$C$9</c:f>
              <c:numCache>
                <c:formatCode>General</c:formatCode>
                <c:ptCount val="8"/>
                <c:pt idx="0">
                  <c:v>2057</c:v>
                </c:pt>
                <c:pt idx="1">
                  <c:v>9842</c:v>
                </c:pt>
                <c:pt idx="2">
                  <c:v>929</c:v>
                </c:pt>
                <c:pt idx="3">
                  <c:v>2607</c:v>
                </c:pt>
                <c:pt idx="4">
                  <c:v>4102</c:v>
                </c:pt>
                <c:pt idx="5">
                  <c:v>7250</c:v>
                </c:pt>
                <c:pt idx="6">
                  <c:v>2981</c:v>
                </c:pt>
                <c:pt idx="7">
                  <c:v>1797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59-4BA8-8F18-ECA12E7723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4"/>
        <c:overlap val="-5"/>
        <c:axId val="939039168"/>
        <c:axId val="1"/>
      </c:barChart>
      <c:catAx>
        <c:axId val="9390391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uk-UA" sz="1000" b="1">
                    <a:solidFill>
                      <a:sysClr val="windowText" lastClr="000000"/>
                    </a:solidFill>
                  </a:rPr>
                  <a:t>Джерело:</a:t>
                </a:r>
                <a:r>
                  <a:rPr lang="uk-UA" sz="1000" b="1" baseline="0">
                    <a:solidFill>
                      <a:sysClr val="windowText" lastClr="000000"/>
                    </a:solidFill>
                  </a:rPr>
                  <a:t> дослідження АВМ за даними Держмитслужби</a:t>
                </a:r>
                <a:endParaRPr lang="ru-UA" sz="1000" b="1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5.7923466088478072E-2"/>
              <c:y val="0.953464639433882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2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939039168"/>
        <c:crosses val="autoZero"/>
        <c:crossBetween val="between"/>
        <c:majorUnit val="1000"/>
      </c:valAx>
      <c:spPr>
        <a:noFill/>
        <a:ln w="25400">
          <a:noFill/>
        </a:ln>
      </c:spPr>
    </c:plotArea>
    <c:legend>
      <c:legendPos val="t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UA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 b="1">
                <a:solidFill>
                  <a:sysClr val="windowText" lastClr="000000"/>
                </a:solidFill>
              </a:rPr>
              <a:t>Динаміка імпорту молочних продуктів, тис. дол.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1391119107654544E-2"/>
          <c:y val="0.13740546582620569"/>
          <c:w val="0.9335938658773304"/>
          <c:h val="0.707031609256390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'd3'!$E$1</c:f>
              <c:strCache>
                <c:ptCount val="1"/>
                <c:pt idx="0">
                  <c:v>Вер. 2025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ru-UA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'd3'!$B$2:$B$9</c:f>
              <c:strCache>
                <c:ptCount val="8"/>
                <c:pt idx="0">
                  <c:v>Молоко та вершки, не згущені</c:v>
                </c:pt>
                <c:pt idx="1">
                  <c:v>Молоко та вершки, згущені</c:v>
                </c:pt>
                <c:pt idx="2">
                  <c:v>Кисломолочні продукти</c:v>
                </c:pt>
                <c:pt idx="3">
                  <c:v>Молочна сироватка</c:v>
                </c:pt>
                <c:pt idx="4">
                  <c:v>Масло вершкове</c:v>
                </c:pt>
                <c:pt idx="5">
                  <c:v>Сири</c:v>
                </c:pt>
                <c:pt idx="6">
                  <c:v>Морозиво</c:v>
                </c:pt>
                <c:pt idx="7">
                  <c:v>Казеїн</c:v>
                </c:pt>
              </c:strCache>
            </c:strRef>
          </c:cat>
          <c:val>
            <c:numRef>
              <c:f>'d3'!$E$2:$E$9</c:f>
              <c:numCache>
                <c:formatCode>0</c:formatCode>
                <c:ptCount val="8"/>
                <c:pt idx="0">
                  <c:v>676</c:v>
                </c:pt>
                <c:pt idx="1">
                  <c:v>1198</c:v>
                </c:pt>
                <c:pt idx="2">
                  <c:v>1435</c:v>
                </c:pt>
                <c:pt idx="3">
                  <c:v>1796</c:v>
                </c:pt>
                <c:pt idx="4">
                  <c:v>2326</c:v>
                </c:pt>
                <c:pt idx="5">
                  <c:v>24122</c:v>
                </c:pt>
                <c:pt idx="6">
                  <c:v>184</c:v>
                </c:pt>
                <c:pt idx="7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D2-4E6C-85EE-EECD091A0DB4}"/>
            </c:ext>
          </c:extLst>
        </c:ser>
        <c:ser>
          <c:idx val="1"/>
          <c:order val="1"/>
          <c:tx>
            <c:strRef>
              <c:f>'d3'!$D$1</c:f>
              <c:strCache>
                <c:ptCount val="1"/>
                <c:pt idx="0">
                  <c:v>Сер. 2026</c:v>
                </c:pt>
              </c:strCache>
            </c:strRef>
          </c:tx>
          <c:spPr>
            <a:solidFill>
              <a:srgbClr val="9BBB59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UA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'd3'!$B$2:$B$9</c:f>
              <c:strCache>
                <c:ptCount val="8"/>
                <c:pt idx="0">
                  <c:v>Молоко та вершки, не згущені</c:v>
                </c:pt>
                <c:pt idx="1">
                  <c:v>Молоко та вершки, згущені</c:v>
                </c:pt>
                <c:pt idx="2">
                  <c:v>Кисломолочні продукти</c:v>
                </c:pt>
                <c:pt idx="3">
                  <c:v>Молочна сироватка</c:v>
                </c:pt>
                <c:pt idx="4">
                  <c:v>Масло вершкове</c:v>
                </c:pt>
                <c:pt idx="5">
                  <c:v>Сири</c:v>
                </c:pt>
                <c:pt idx="6">
                  <c:v>Морозиво</c:v>
                </c:pt>
                <c:pt idx="7">
                  <c:v>Казеїн</c:v>
                </c:pt>
              </c:strCache>
            </c:strRef>
          </c:cat>
          <c:val>
            <c:numRef>
              <c:f>'d3'!$D$2:$D$9</c:f>
              <c:numCache>
                <c:formatCode>General</c:formatCode>
                <c:ptCount val="8"/>
                <c:pt idx="0">
                  <c:v>1644</c:v>
                </c:pt>
                <c:pt idx="1">
                  <c:v>542</c:v>
                </c:pt>
                <c:pt idx="2">
                  <c:v>2182</c:v>
                </c:pt>
                <c:pt idx="3">
                  <c:v>1862</c:v>
                </c:pt>
                <c:pt idx="4">
                  <c:v>1495</c:v>
                </c:pt>
                <c:pt idx="5">
                  <c:v>25727</c:v>
                </c:pt>
                <c:pt idx="6">
                  <c:v>337</c:v>
                </c:pt>
                <c:pt idx="7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D2-4E6C-85EE-EECD091A0DB4}"/>
            </c:ext>
          </c:extLst>
        </c:ser>
        <c:ser>
          <c:idx val="2"/>
          <c:order val="2"/>
          <c:tx>
            <c:strRef>
              <c:f>'d3'!$C$1</c:f>
              <c:strCache>
                <c:ptCount val="1"/>
                <c:pt idx="0">
                  <c:v>Вер. 2026</c:v>
                </c:pt>
              </c:strCache>
            </c:strRef>
          </c:tx>
          <c:spPr>
            <a:solidFill>
              <a:srgbClr val="4BACC6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5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UA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'd3'!$B$2:$B$9</c:f>
              <c:strCache>
                <c:ptCount val="8"/>
                <c:pt idx="0">
                  <c:v>Молоко та вершки, не згущені</c:v>
                </c:pt>
                <c:pt idx="1">
                  <c:v>Молоко та вершки, згущені</c:v>
                </c:pt>
                <c:pt idx="2">
                  <c:v>Кисломолочні продукти</c:v>
                </c:pt>
                <c:pt idx="3">
                  <c:v>Молочна сироватка</c:v>
                </c:pt>
                <c:pt idx="4">
                  <c:v>Масло вершкове</c:v>
                </c:pt>
                <c:pt idx="5">
                  <c:v>Сири</c:v>
                </c:pt>
                <c:pt idx="6">
                  <c:v>Морозиво</c:v>
                </c:pt>
                <c:pt idx="7">
                  <c:v>Казеїн</c:v>
                </c:pt>
              </c:strCache>
            </c:strRef>
          </c:cat>
          <c:val>
            <c:numRef>
              <c:f>'d3'!$C$2:$C$9</c:f>
              <c:numCache>
                <c:formatCode>0</c:formatCode>
                <c:ptCount val="8"/>
                <c:pt idx="0">
                  <c:v>1456</c:v>
                </c:pt>
                <c:pt idx="1">
                  <c:v>859</c:v>
                </c:pt>
                <c:pt idx="2">
                  <c:v>2211</c:v>
                </c:pt>
                <c:pt idx="3">
                  <c:v>1347</c:v>
                </c:pt>
                <c:pt idx="4">
                  <c:v>1157</c:v>
                </c:pt>
                <c:pt idx="5">
                  <c:v>26123</c:v>
                </c:pt>
                <c:pt idx="6">
                  <c:v>128</c:v>
                </c:pt>
                <c:pt idx="7" formatCode="General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D2-4E6C-85EE-EECD091A0D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4"/>
        <c:overlap val="-5"/>
        <c:axId val="939028608"/>
        <c:axId val="1"/>
      </c:barChart>
      <c:catAx>
        <c:axId val="939028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1" i="0" u="none" strike="noStrike" kern="1200" baseline="0">
                    <a:solidFill>
                      <a:sysClr val="windowText" lastClr="000000"/>
                    </a:solidFill>
                  </a:rPr>
                  <a:t>Джерело: дослідження АВМ за даними Держмитслужби</a:t>
                </a:r>
              </a:p>
            </c:rich>
          </c:tx>
          <c:layout>
            <c:manualLayout>
              <c:xMode val="edge"/>
              <c:yMode val="edge"/>
              <c:x val="4.7450241938430913E-2"/>
              <c:y val="0.950584007187780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3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939028608"/>
        <c:crosses val="autoZero"/>
        <c:crossBetween val="between"/>
        <c:majorUnit val="2000"/>
      </c:valAx>
      <c:spPr>
        <a:noFill/>
        <a:ln w="25400">
          <a:noFill/>
        </a:ln>
      </c:spPr>
    </c:plotArea>
    <c:legend>
      <c:legendPos val="t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UA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 b="1">
                <a:solidFill>
                  <a:sysClr val="windowText" lastClr="000000"/>
                </a:solidFill>
              </a:rPr>
              <a:t>Структура експорту </a:t>
            </a:r>
            <a:r>
              <a:rPr lang="uk-UA" b="1">
                <a:solidFill>
                  <a:sysClr val="windowText" lastClr="000000"/>
                </a:solidFill>
              </a:rPr>
              <a:t>ВРХ</a:t>
            </a:r>
            <a:r>
              <a:rPr lang="uk-UA" b="1" baseline="0">
                <a:solidFill>
                  <a:sysClr val="windowText" lastClr="000000"/>
                </a:solidFill>
              </a:rPr>
              <a:t> та яловичини</a:t>
            </a:r>
            <a:endParaRPr lang="ru-RU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31156507265860056"/>
          <c:y val="3.085291970082686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9496613533064464"/>
          <c:y val="0.12140054861563357"/>
          <c:w val="0.43810114589334864"/>
          <c:h val="0.67526868351982305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79646">
                  <a:lumMod val="75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118-46F6-AC95-ABA094517B0B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118-46F6-AC95-ABA094517B0B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118-46F6-AC95-ABA094517B0B}"/>
              </c:ext>
            </c:extLst>
          </c:dPt>
          <c:dLbls>
            <c:dLbl>
              <c:idx val="2"/>
              <c:layout>
                <c:manualLayout>
                  <c:x val="8.8339286857435501E-2"/>
                  <c:y val="-7.5915378998677799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118-46F6-AC95-ABA094517B0B}"/>
                </c:ext>
              </c:extLst>
            </c:dLbl>
            <c:dLbl>
              <c:idx val="7"/>
              <c:layout>
                <c:manualLayout>
                  <c:x val="-7.8392944634983579E-3"/>
                  <c:y val="6.944924229876925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118-46F6-AC95-ABA094517B0B}"/>
                </c:ext>
              </c:extLst>
            </c:dLbl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UA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'd4'!$B$2:$B$4</c:f>
              <c:strCache>
                <c:ptCount val="3"/>
                <c:pt idx="0">
                  <c:v>ВРХ</c:v>
                </c:pt>
                <c:pt idx="1">
                  <c:v>М'ясо ВРХ охолоджене</c:v>
                </c:pt>
                <c:pt idx="2">
                  <c:v>М'ясо ВРХ морожене</c:v>
                </c:pt>
              </c:strCache>
            </c:strRef>
          </c:cat>
          <c:val>
            <c:numRef>
              <c:f>'d4'!$C$2:$C$4</c:f>
              <c:numCache>
                <c:formatCode>0%</c:formatCode>
                <c:ptCount val="3"/>
                <c:pt idx="0">
                  <c:v>0.19735072619688004</c:v>
                </c:pt>
                <c:pt idx="1">
                  <c:v>0.27911511565357722</c:v>
                </c:pt>
                <c:pt idx="2">
                  <c:v>0.52353415814954274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118-46F6-AC95-ABA094517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2.8304205876704437E-3"/>
          <c:y val="0.84263848597872637"/>
          <c:w val="0.97958658216503414"/>
          <c:h val="8.2752550668008573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UA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  <c:printSettings>
    <c:headerFooter/>
    <c:pageMargins b="0.75" l="0.7" r="0.7" t="0.75" header="0.3" footer="0.3"/>
    <c:pageSetup/>
  </c:printSettings>
  <c:userShapes r:id="rId2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 b="1">
                <a:solidFill>
                  <a:sysClr val="windowText" lastClr="000000"/>
                </a:solidFill>
              </a:rPr>
              <a:t>Динаміка експорту ВРХ</a:t>
            </a:r>
            <a:r>
              <a:rPr lang="ru-RU" b="1" baseline="0">
                <a:solidFill>
                  <a:sysClr val="windowText" lastClr="000000"/>
                </a:solidFill>
              </a:rPr>
              <a:t> і яловичини</a:t>
            </a:r>
            <a:r>
              <a:rPr lang="ru-RU" b="1">
                <a:solidFill>
                  <a:sysClr val="windowText" lastClr="000000"/>
                </a:solidFill>
              </a:rPr>
              <a:t>, тис. дол.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4216550225907734E-2"/>
          <c:y val="0.14089032115324282"/>
          <c:w val="0.92102231182454852"/>
          <c:h val="0.72216064372101807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'd5'!$E$1</c:f>
              <c:strCache>
                <c:ptCount val="1"/>
                <c:pt idx="0">
                  <c:v>Вер. 2025</c:v>
                </c:pt>
              </c:strCache>
            </c:strRef>
          </c:tx>
          <c:spPr>
            <a:solidFill>
              <a:srgbClr val="4BACC6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5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UA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'd5'!$B$2:$B$4</c:f>
              <c:strCache>
                <c:ptCount val="3"/>
                <c:pt idx="0">
                  <c:v>ВРХ</c:v>
                </c:pt>
                <c:pt idx="1">
                  <c:v>М'ясо ВРХ охолоджене</c:v>
                </c:pt>
                <c:pt idx="2">
                  <c:v>М'ясо ВРХ морожене</c:v>
                </c:pt>
              </c:strCache>
            </c:strRef>
          </c:cat>
          <c:val>
            <c:numRef>
              <c:f>'d5'!$E$2:$E$4</c:f>
              <c:numCache>
                <c:formatCode>0</c:formatCode>
                <c:ptCount val="3"/>
                <c:pt idx="0">
                  <c:v>782</c:v>
                </c:pt>
                <c:pt idx="1">
                  <c:v>621</c:v>
                </c:pt>
                <c:pt idx="2">
                  <c:v>5451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78-4A4F-8DE4-8A128AC24EBF}"/>
            </c:ext>
          </c:extLst>
        </c:ser>
        <c:ser>
          <c:idx val="1"/>
          <c:order val="1"/>
          <c:tx>
            <c:strRef>
              <c:f>'d5'!$D$1</c:f>
              <c:strCache>
                <c:ptCount val="1"/>
                <c:pt idx="0">
                  <c:v>Сер. 2026</c:v>
                </c:pt>
              </c:strCache>
            </c:strRef>
          </c:tx>
          <c:spPr>
            <a:solidFill>
              <a:srgbClr val="9BBB59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UA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'd5'!$B$2:$B$4</c:f>
              <c:strCache>
                <c:ptCount val="3"/>
                <c:pt idx="0">
                  <c:v>ВРХ</c:v>
                </c:pt>
                <c:pt idx="1">
                  <c:v>М'ясо ВРХ охолоджене</c:v>
                </c:pt>
                <c:pt idx="2">
                  <c:v>М'ясо ВРХ морожене</c:v>
                </c:pt>
              </c:strCache>
            </c:strRef>
          </c:cat>
          <c:val>
            <c:numRef>
              <c:f>'d5'!$D$2:$D$4</c:f>
              <c:numCache>
                <c:formatCode>General</c:formatCode>
                <c:ptCount val="3"/>
                <c:pt idx="0">
                  <c:v>3620</c:v>
                </c:pt>
                <c:pt idx="1">
                  <c:v>3959</c:v>
                </c:pt>
                <c:pt idx="2">
                  <c:v>8162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78-4A4F-8DE4-8A128AC24EBF}"/>
            </c:ext>
          </c:extLst>
        </c:ser>
        <c:ser>
          <c:idx val="0"/>
          <c:order val="2"/>
          <c:tx>
            <c:strRef>
              <c:f>'d5'!$C$1</c:f>
              <c:strCache>
                <c:ptCount val="1"/>
                <c:pt idx="0">
                  <c:v>Вер. 2026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ru-UA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'd5'!$B$2:$B$4</c:f>
              <c:strCache>
                <c:ptCount val="3"/>
                <c:pt idx="0">
                  <c:v>ВРХ</c:v>
                </c:pt>
                <c:pt idx="1">
                  <c:v>М'ясо ВРХ охолоджене</c:v>
                </c:pt>
                <c:pt idx="2">
                  <c:v>М'ясо ВРХ морожене</c:v>
                </c:pt>
              </c:strCache>
            </c:strRef>
          </c:cat>
          <c:val>
            <c:numRef>
              <c:f>'d5'!$C$2:$C$4</c:f>
              <c:numCache>
                <c:formatCode>0</c:formatCode>
                <c:ptCount val="3"/>
                <c:pt idx="0">
                  <c:v>2935</c:v>
                </c:pt>
                <c:pt idx="1">
                  <c:v>4151</c:v>
                </c:pt>
                <c:pt idx="2">
                  <c:v>7786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78-4A4F-8DE4-8A128AC24E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4"/>
        <c:overlap val="-5"/>
        <c:axId val="48515775"/>
        <c:axId val="1"/>
      </c:barChart>
      <c:catAx>
        <c:axId val="48515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1" i="0" u="none" strike="noStrike" kern="1200" baseline="0">
                    <a:solidFill>
                      <a:sysClr val="windowText" lastClr="000000"/>
                    </a:solidFill>
                  </a:rPr>
                  <a:t>Джерело: дослідження АВМ за даними Держмитслужби</a:t>
                </a:r>
              </a:p>
            </c:rich>
          </c:tx>
          <c:layout>
            <c:manualLayout>
              <c:xMode val="edge"/>
              <c:yMode val="edge"/>
              <c:x val="5.6581544456701362E-2"/>
              <c:y val="0.953464639433883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83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48515775"/>
        <c:crosses val="autoZero"/>
        <c:crossBetween val="between"/>
        <c:majorUnit val="500"/>
      </c:valAx>
      <c:spPr>
        <a:noFill/>
        <a:ln w="25400">
          <a:noFill/>
        </a:ln>
      </c:spPr>
    </c:plotArea>
    <c:legend>
      <c:legendPos val="t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UA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 b="1">
                <a:solidFill>
                  <a:sysClr val="windowText" lastClr="000000"/>
                </a:solidFill>
              </a:rPr>
              <a:t>Динаміка імпорту ВРХ та яловичини, тис. дол.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1391119107654544E-2"/>
          <c:y val="0.13740546582620569"/>
          <c:w val="0.9335938658773304"/>
          <c:h val="0.73398578715396423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'd6'!$E$1</c:f>
              <c:strCache>
                <c:ptCount val="1"/>
                <c:pt idx="0">
                  <c:v>Вер. 2025</c:v>
                </c:pt>
              </c:strCache>
            </c:strRef>
          </c:tx>
          <c:spPr>
            <a:solidFill>
              <a:srgbClr val="4BACC6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5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UA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'd6'!$B$2:$B$4</c:f>
              <c:strCache>
                <c:ptCount val="3"/>
                <c:pt idx="0">
                  <c:v>ВРХ</c:v>
                </c:pt>
                <c:pt idx="1">
                  <c:v>М'ясо ВРХ охолоджене</c:v>
                </c:pt>
                <c:pt idx="2">
                  <c:v>М'ясо ВРХ морожене</c:v>
                </c:pt>
              </c:strCache>
            </c:strRef>
          </c:cat>
          <c:val>
            <c:numRef>
              <c:f>'d6'!$E$2:$E$4</c:f>
              <c:numCache>
                <c:formatCode>0</c:formatCode>
                <c:ptCount val="3"/>
                <c:pt idx="0">
                  <c:v>0</c:v>
                </c:pt>
                <c:pt idx="1">
                  <c:v>203</c:v>
                </c:pt>
                <c:pt idx="2">
                  <c:v>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07-4E97-B2AD-EF378D442947}"/>
            </c:ext>
          </c:extLst>
        </c:ser>
        <c:ser>
          <c:idx val="1"/>
          <c:order val="1"/>
          <c:tx>
            <c:strRef>
              <c:f>'d6'!$D$1</c:f>
              <c:strCache>
                <c:ptCount val="1"/>
                <c:pt idx="0">
                  <c:v>Сер. 2026</c:v>
                </c:pt>
              </c:strCache>
            </c:strRef>
          </c:tx>
          <c:spPr>
            <a:solidFill>
              <a:srgbClr val="9BBB59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UA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'd6'!$B$2:$B$4</c:f>
              <c:strCache>
                <c:ptCount val="3"/>
                <c:pt idx="0">
                  <c:v>ВРХ</c:v>
                </c:pt>
                <c:pt idx="1">
                  <c:v>М'ясо ВРХ охолоджене</c:v>
                </c:pt>
                <c:pt idx="2">
                  <c:v>М'ясо ВРХ морожене</c:v>
                </c:pt>
              </c:strCache>
            </c:strRef>
          </c:cat>
          <c:val>
            <c:numRef>
              <c:f>'d6'!$D$2:$D$4</c:f>
              <c:numCache>
                <c:formatCode>General</c:formatCode>
                <c:ptCount val="3"/>
                <c:pt idx="0">
                  <c:v>0</c:v>
                </c:pt>
                <c:pt idx="1">
                  <c:v>167</c:v>
                </c:pt>
                <c:pt idx="2">
                  <c:v>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07-4E97-B2AD-EF378D442947}"/>
            </c:ext>
          </c:extLst>
        </c:ser>
        <c:ser>
          <c:idx val="0"/>
          <c:order val="2"/>
          <c:tx>
            <c:strRef>
              <c:f>'d6'!$C$1</c:f>
              <c:strCache>
                <c:ptCount val="1"/>
                <c:pt idx="0">
                  <c:v>Вер. 2026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ru-UA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'd6'!$B$2:$B$4</c:f>
              <c:strCache>
                <c:ptCount val="3"/>
                <c:pt idx="0">
                  <c:v>ВРХ</c:v>
                </c:pt>
                <c:pt idx="1">
                  <c:v>М'ясо ВРХ охолоджене</c:v>
                </c:pt>
                <c:pt idx="2">
                  <c:v>М'ясо ВРХ морожене</c:v>
                </c:pt>
              </c:strCache>
            </c:strRef>
          </c:cat>
          <c:val>
            <c:numRef>
              <c:f>'d6'!$C$2:$C$4</c:f>
              <c:numCache>
                <c:formatCode>0</c:formatCode>
                <c:ptCount val="3"/>
                <c:pt idx="0">
                  <c:v>0</c:v>
                </c:pt>
                <c:pt idx="1">
                  <c:v>636</c:v>
                </c:pt>
                <c:pt idx="2">
                  <c:v>1279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07-4E97-B2AD-EF378D4429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4"/>
        <c:overlap val="-5"/>
        <c:axId val="1235316608"/>
        <c:axId val="1"/>
      </c:barChart>
      <c:catAx>
        <c:axId val="1235316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1" i="0" u="none" strike="noStrike" kern="1200" baseline="0">
                    <a:solidFill>
                      <a:sysClr val="windowText" lastClr="000000"/>
                    </a:solidFill>
                  </a:rPr>
                  <a:t>Джерело: дослідження АВМ за даними Держмитслужби</a:t>
                </a:r>
              </a:p>
            </c:rich>
          </c:tx>
          <c:layout>
            <c:manualLayout>
              <c:xMode val="edge"/>
              <c:yMode val="edge"/>
              <c:x val="4.7450241938430913E-2"/>
              <c:y val="0.950584007187780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1235316608"/>
        <c:crosses val="autoZero"/>
        <c:crossBetween val="between"/>
        <c:majorUnit val="100"/>
        <c:minorUnit val="10"/>
      </c:valAx>
      <c:spPr>
        <a:noFill/>
        <a:ln w="25400">
          <a:noFill/>
        </a:ln>
      </c:spPr>
    </c:plotArea>
    <c:legend>
      <c:legendPos val="t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UA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563880</xdr:colOff>
      <xdr:row>0</xdr:row>
      <xdr:rowOff>0</xdr:rowOff>
    </xdr:from>
    <xdr:to>
      <xdr:col>20</xdr:col>
      <xdr:colOff>15240</xdr:colOff>
      <xdr:row>29</xdr:row>
      <xdr:rowOff>7620</xdr:rowOff>
    </xdr:to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0C25ECE0-DBE9-5993-F2C8-D1CC9E42B8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563880</xdr:colOff>
      <xdr:row>0</xdr:row>
      <xdr:rowOff>0</xdr:rowOff>
    </xdr:from>
    <xdr:to>
      <xdr:col>20</xdr:col>
      <xdr:colOff>15240</xdr:colOff>
      <xdr:row>29</xdr:row>
      <xdr:rowOff>7620</xdr:rowOff>
    </xdr:to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49C7098B-12AA-4794-867A-223DC4783E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586740</xdr:colOff>
      <xdr:row>0</xdr:row>
      <xdr:rowOff>0</xdr:rowOff>
    </xdr:from>
    <xdr:to>
      <xdr:col>20</xdr:col>
      <xdr:colOff>38100</xdr:colOff>
      <xdr:row>29</xdr:row>
      <xdr:rowOff>7620</xdr:rowOff>
    </xdr:to>
    <xdr:graphicFrame macro="">
      <xdr:nvGraphicFramePr>
        <xdr:cNvPr id="3" name="Діаграма 2">
          <a:extLst>
            <a:ext uri="{FF2B5EF4-FFF2-40B4-BE49-F238E27FC236}">
              <a16:creationId xmlns:a16="http://schemas.microsoft.com/office/drawing/2014/main" id="{88814CAE-29E3-54A6-F901-33097C0B33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</xdr:colOff>
      <xdr:row>1</xdr:row>
      <xdr:rowOff>15240</xdr:rowOff>
    </xdr:from>
    <xdr:to>
      <xdr:col>16</xdr:col>
      <xdr:colOff>525780</xdr:colOff>
      <xdr:row>28</xdr:row>
      <xdr:rowOff>144780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1CDD949-8D22-476C-BDEC-1D7EA97E60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0.01073</cdr:x>
      <cdr:y>0.94236</cdr:y>
    </cdr:from>
    <cdr:to>
      <cdr:x>0.49268</cdr:x>
      <cdr:y>0.98346</cdr:y>
    </cdr:to>
    <cdr:sp macro="" textlink="">
      <cdr:nvSpPr>
        <cdr:cNvPr id="2" name="TextBox 4"/>
        <cdr:cNvSpPr txBox="1"/>
      </cdr:nvSpPr>
      <cdr:spPr>
        <a:xfrm xmlns:a="http://schemas.openxmlformats.org/drawingml/2006/main">
          <a:off x="83806" y="4775221"/>
          <a:ext cx="3764293" cy="208259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uk-UA" sz="1000" b="1"/>
            <a:t>Джерело:</a:t>
          </a:r>
          <a:r>
            <a:rPr lang="uk-UA" sz="1000" b="1" baseline="0"/>
            <a:t> дослідження АВМ за даними Держмитслужби</a:t>
          </a:r>
          <a:endParaRPr lang="ru-UA" sz="1000" b="1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327660</xdr:colOff>
      <xdr:row>0</xdr:row>
      <xdr:rowOff>0</xdr:rowOff>
    </xdr:from>
    <xdr:to>
      <xdr:col>21</xdr:col>
      <xdr:colOff>38100</xdr:colOff>
      <xdr:row>30</xdr:row>
      <xdr:rowOff>30480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EA6AC58-9621-4CB1-A5DD-DE1DE9B8BD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594360</xdr:colOff>
      <xdr:row>0</xdr:row>
      <xdr:rowOff>0</xdr:rowOff>
    </xdr:from>
    <xdr:to>
      <xdr:col>21</xdr:col>
      <xdr:colOff>144780</xdr:colOff>
      <xdr:row>30</xdr:row>
      <xdr:rowOff>167640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0C3D269-950F-468A-8DAB-3D9C02B164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</xdr:colOff>
      <xdr:row>0</xdr:row>
      <xdr:rowOff>129540</xdr:rowOff>
    </xdr:from>
    <xdr:to>
      <xdr:col>16</xdr:col>
      <xdr:colOff>525780</xdr:colOff>
      <xdr:row>28</xdr:row>
      <xdr:rowOff>76200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7D1C9E7-741A-4F2E-8001-740AC100D1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0.01041</cdr:x>
      <cdr:y>0.93784</cdr:y>
    </cdr:from>
    <cdr:to>
      <cdr:x>0.51219</cdr:x>
      <cdr:y>0.9985</cdr:y>
    </cdr:to>
    <cdr:sp macro="" textlink="">
      <cdr:nvSpPr>
        <cdr:cNvPr id="3" name="TextBox 4"/>
        <cdr:cNvSpPr txBox="1"/>
      </cdr:nvSpPr>
      <cdr:spPr>
        <a:xfrm xmlns:a="http://schemas.openxmlformats.org/drawingml/2006/main">
          <a:off x="81306" y="4752317"/>
          <a:ext cx="3919193" cy="30736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uk-UA" sz="1000" b="1"/>
            <a:t>Джерело: дослідження АВМ за даними Держмитслужби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22860</xdr:colOff>
      <xdr:row>0</xdr:row>
      <xdr:rowOff>0</xdr:rowOff>
    </xdr:from>
    <xdr:to>
      <xdr:col>22</xdr:col>
      <xdr:colOff>342900</xdr:colOff>
      <xdr:row>30</xdr:row>
      <xdr:rowOff>30480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72745EE-9E37-4671-A839-10B5502C13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0</xdr:rowOff>
    </xdr:from>
    <xdr:to>
      <xdr:col>22</xdr:col>
      <xdr:colOff>160020</xdr:colOff>
      <xdr:row>30</xdr:row>
      <xdr:rowOff>167640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D70C10D-07DC-4974-BA4F-863C63F9BD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99FAC9-1248-465F-9B50-03626DFABF6A}" name="Таблиця1" displayName="Таблиця1" ref="A1:L320" totalsRowShown="0" headerRowDxfId="2" dataCellStyle="Обычный 3">
  <autoFilter ref="A1:L320" xr:uid="{E099FAC9-1248-465F-9B50-03626DFABF6A}"/>
  <tableColumns count="12">
    <tableColumn id="1" xr3:uid="{EA44B9D6-39FF-4E4D-A554-24FA43AD9CFD}" name="Date" dataDxfId="1"/>
    <tableColumn id="2" xr3:uid="{FD94072C-BECD-4A88-95C8-10B352996144}" name="Year"/>
    <tableColumn id="3" xr3:uid="{8C1853AA-BF03-4227-B61B-16D6C17CEB83}" name="Month"/>
    <tableColumn id="4" xr3:uid="{95A56628-4760-4522-93F7-6B7C43BCDF2D}" name="Period"/>
    <tableColumn id="5" xr3:uid="{D60D43D4-309D-4AB0-A904-1EB7E97AD140}" name="Periods" dataDxfId="0"/>
    <tableColumn id="6" xr3:uid="{09472F59-FFA4-41D1-8040-39756B9EFBF5}" name="Code" dataCellStyle="Обычный 3"/>
    <tableColumn id="7" xr3:uid="{57F012F6-E2D0-41A7-AD06-30786F8D76FE}" name="Product" dataCellStyle="Обычный 3"/>
    <tableColumn id="8" xr3:uid="{08AA1C42-8C46-4FF2-A7E3-F9E4FDB7797F}" name="Export_Tons" dataCellStyle="Обычный 3"/>
    <tableColumn id="9" xr3:uid="{CBF7887A-8848-4A50-B919-2CE2CFE045ED}" name="Export_USD_k" dataCellStyle="Обычный 3"/>
    <tableColumn id="10" xr3:uid="{692713D2-7AB0-4769-9D92-8F5D48B3AFBA}" name="Import_Tons" dataCellStyle="Обычный 3"/>
    <tableColumn id="11" xr3:uid="{E29965B2-41FA-46FE-9D79-F07E567C8BFE}" name="Import_USD_k" dataCellStyle="Обычный 3"/>
    <tableColumn id="12" xr3:uid="{D56FA762-4F11-479C-A779-058B91889C47}" name="Balance_USD_k">
      <calculatedColumnFormula>I2-K2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F8F696-8CA4-42D9-84F3-B90B6E4E8E49}" name="Таблиця2" displayName="Таблиця2" ref="A1:M290" totalsRowShown="0" headerRowDxfId="6" headerRowCellStyle="Обычный 3" dataCellStyle="Обычный 3">
  <autoFilter ref="A1:M290" xr:uid="{21F8F696-8CA4-42D9-84F3-B90B6E4E8E49}"/>
  <tableColumns count="13">
    <tableColumn id="1" xr3:uid="{7840A38F-A422-402E-9A51-AA2D05D9BD91}" name="Date" dataDxfId="5" dataCellStyle="Обычный 3"/>
    <tableColumn id="2" xr3:uid="{D263D006-E9D6-4AA8-9345-AEFBEE716456}" name="Year" dataCellStyle="Обычный 3"/>
    <tableColumn id="3" xr3:uid="{154EE78B-A219-4C06-8723-3F2EA8B3808D}" name="Month" dataCellStyle="Обычный 3"/>
    <tableColumn id="4" xr3:uid="{D6F24DF6-D2FC-4910-AA7B-ADFE9DBBEB12}" name="Period" dataCellStyle="Обычный 3"/>
    <tableColumn id="5" xr3:uid="{02EB342F-D6F6-466B-AB7D-24944103FA6F}" name="Month2" dataDxfId="4" dataCellStyle="Обычный 3"/>
    <tableColumn id="6" xr3:uid="{E4E11F5C-977F-4696-A8E3-66C931139C44}" name="Code" dataDxfId="3" dataCellStyle="Обычный 3"/>
    <tableColumn id="7" xr3:uid="{801C1D5F-5342-4E41-94DE-E8D770BA36A6}" name="Product" dataCellStyle="Обычный 3"/>
    <tableColumn id="8" xr3:uid="{E6F489E7-1D8D-44B6-AAC0-DB213C8EE0AC}" name="Export_Tons" dataCellStyle="Обычный 3"/>
    <tableColumn id="9" xr3:uid="{06194645-3E27-43AA-B0DC-974B28C43C7A}" name="Export_USD_k" dataCellStyle="Обычный 3"/>
    <tableColumn id="10" xr3:uid="{3E4D644D-2ADC-44E5-9E73-D81F5E19D774}" name="Import_Tons" dataCellStyle="Обычный 3"/>
    <tableColumn id="11" xr3:uid="{7738061A-6402-4DB6-801A-5B3DDDBDF189}" name="Import_USD_k" dataCellStyle="Обычный 3"/>
    <tableColumn id="12" xr3:uid="{90393FB4-8974-40F8-95C7-B961534974BA}" name="Balance_USD_k" dataCellStyle="Обычный 3"/>
    <tableColumn id="13" xr3:uid="{6CF7CE64-06D3-489E-A998-F30140276CD4}" name="Month_1" dataCellStyle="Обычный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C9668-B7B4-43E7-B225-9F8E08DAD06D}">
  <dimension ref="A1:L320"/>
  <sheetViews>
    <sheetView workbookViewId="0">
      <pane ySplit="1" topLeftCell="A304" activePane="bottomLeft" state="frozen"/>
      <selection pane="bottomLeft" activeCell="H296" sqref="H296"/>
    </sheetView>
  </sheetViews>
  <sheetFormatPr defaultRowHeight="14.4" x14ac:dyDescent="0.3"/>
  <cols>
    <col min="1" max="1" width="10" style="41" customWidth="1"/>
    <col min="5" max="5" width="13.21875" bestFit="1" customWidth="1"/>
    <col min="7" max="7" width="9.5546875" customWidth="1"/>
    <col min="8" max="8" width="13.33203125" customWidth="1"/>
    <col min="9" max="9" width="14.88671875" customWidth="1"/>
    <col min="10" max="10" width="13.6640625" customWidth="1"/>
    <col min="11" max="11" width="15.21875" customWidth="1"/>
    <col min="12" max="12" width="16" customWidth="1"/>
  </cols>
  <sheetData>
    <row r="1" spans="1:12" x14ac:dyDescent="0.3">
      <c r="A1" s="40" t="s">
        <v>60</v>
      </c>
      <c r="B1" s="1" t="s">
        <v>0</v>
      </c>
      <c r="C1" s="1" t="s">
        <v>1</v>
      </c>
      <c r="D1" s="1" t="s">
        <v>2</v>
      </c>
      <c r="E1" s="1" t="s">
        <v>28</v>
      </c>
      <c r="F1" s="1" t="s">
        <v>3</v>
      </c>
      <c r="G1" s="1" t="s">
        <v>4</v>
      </c>
      <c r="H1" s="1" t="s">
        <v>61</v>
      </c>
      <c r="I1" s="1" t="s">
        <v>65</v>
      </c>
      <c r="J1" s="1" t="s">
        <v>62</v>
      </c>
      <c r="K1" s="1" t="s">
        <v>63</v>
      </c>
      <c r="L1" s="1" t="s">
        <v>64</v>
      </c>
    </row>
    <row r="2" spans="1:12" x14ac:dyDescent="0.3">
      <c r="A2" s="41">
        <v>45536</v>
      </c>
      <c r="B2">
        <v>2024</v>
      </c>
      <c r="C2">
        <v>9</v>
      </c>
      <c r="D2" t="s">
        <v>5</v>
      </c>
      <c r="E2" t="s">
        <v>31</v>
      </c>
      <c r="F2">
        <v>102</v>
      </c>
      <c r="G2" t="s">
        <v>43</v>
      </c>
      <c r="H2">
        <v>10451</v>
      </c>
      <c r="I2">
        <v>19249.900000000001</v>
      </c>
      <c r="J2">
        <v>469.8</v>
      </c>
      <c r="K2">
        <v>2988.7</v>
      </c>
      <c r="L2">
        <f>I2-K2</f>
        <v>16261.2</v>
      </c>
    </row>
    <row r="3" spans="1:12" x14ac:dyDescent="0.3">
      <c r="A3" s="41">
        <v>45536</v>
      </c>
      <c r="B3">
        <v>2024</v>
      </c>
      <c r="C3">
        <v>9</v>
      </c>
      <c r="D3" t="s">
        <v>5</v>
      </c>
      <c r="E3" t="s">
        <v>31</v>
      </c>
      <c r="F3">
        <v>201</v>
      </c>
      <c r="G3" t="s">
        <v>44</v>
      </c>
      <c r="H3">
        <v>886.8</v>
      </c>
      <c r="I3">
        <v>5566.6</v>
      </c>
      <c r="J3">
        <v>108</v>
      </c>
      <c r="K3">
        <v>2239.5</v>
      </c>
      <c r="L3">
        <f t="shared" ref="L3:L66" si="0">I3-K3</f>
        <v>3327.1000000000004</v>
      </c>
    </row>
    <row r="4" spans="1:12" x14ac:dyDescent="0.3">
      <c r="A4" s="41">
        <v>45536</v>
      </c>
      <c r="B4">
        <v>2024</v>
      </c>
      <c r="C4">
        <v>9</v>
      </c>
      <c r="D4" t="s">
        <v>5</v>
      </c>
      <c r="E4" t="s">
        <v>31</v>
      </c>
      <c r="F4">
        <v>202</v>
      </c>
      <c r="G4" t="s">
        <v>45</v>
      </c>
      <c r="H4">
        <v>12567.9</v>
      </c>
      <c r="I4">
        <v>50841.7</v>
      </c>
      <c r="J4">
        <v>1925</v>
      </c>
      <c r="K4">
        <v>10163.700000000001</v>
      </c>
      <c r="L4">
        <f t="shared" si="0"/>
        <v>40678</v>
      </c>
    </row>
    <row r="5" spans="1:12" x14ac:dyDescent="0.3">
      <c r="A5" s="41">
        <v>45870</v>
      </c>
      <c r="B5">
        <v>2025</v>
      </c>
      <c r="C5">
        <v>8</v>
      </c>
      <c r="D5" t="s">
        <v>6</v>
      </c>
      <c r="E5" t="s">
        <v>30</v>
      </c>
      <c r="F5">
        <v>102</v>
      </c>
      <c r="G5" t="s">
        <v>43</v>
      </c>
      <c r="H5">
        <v>12724</v>
      </c>
      <c r="I5">
        <v>28436</v>
      </c>
      <c r="J5">
        <v>512</v>
      </c>
      <c r="K5">
        <v>3952</v>
      </c>
      <c r="L5">
        <f t="shared" si="0"/>
        <v>24484</v>
      </c>
    </row>
    <row r="6" spans="1:12" x14ac:dyDescent="0.3">
      <c r="A6" s="41">
        <v>45870</v>
      </c>
      <c r="B6">
        <v>2025</v>
      </c>
      <c r="C6">
        <v>8</v>
      </c>
      <c r="D6" t="s">
        <v>6</v>
      </c>
      <c r="E6" t="s">
        <v>30</v>
      </c>
      <c r="F6">
        <v>201</v>
      </c>
      <c r="G6" t="s">
        <v>44</v>
      </c>
      <c r="H6">
        <v>120</v>
      </c>
      <c r="I6">
        <v>692</v>
      </c>
      <c r="J6">
        <v>95</v>
      </c>
      <c r="K6">
        <v>2242</v>
      </c>
      <c r="L6">
        <f t="shared" si="0"/>
        <v>-1550</v>
      </c>
    </row>
    <row r="7" spans="1:12" x14ac:dyDescent="0.3">
      <c r="A7" s="41">
        <v>45870</v>
      </c>
      <c r="B7">
        <v>2025</v>
      </c>
      <c r="C7">
        <v>8</v>
      </c>
      <c r="D7" t="s">
        <v>6</v>
      </c>
      <c r="E7" t="s">
        <v>30</v>
      </c>
      <c r="F7">
        <v>202</v>
      </c>
      <c r="G7" t="s">
        <v>45</v>
      </c>
      <c r="H7">
        <v>12631</v>
      </c>
      <c r="I7">
        <v>51337</v>
      </c>
      <c r="J7">
        <v>1002</v>
      </c>
      <c r="K7">
        <v>7518</v>
      </c>
      <c r="L7">
        <f t="shared" si="0"/>
        <v>43819</v>
      </c>
    </row>
    <row r="8" spans="1:12" x14ac:dyDescent="0.3">
      <c r="A8" s="41">
        <v>45901</v>
      </c>
      <c r="B8">
        <v>2025</v>
      </c>
      <c r="C8">
        <v>9</v>
      </c>
      <c r="D8" t="s">
        <v>5</v>
      </c>
      <c r="E8" t="s">
        <v>29</v>
      </c>
      <c r="F8">
        <v>102</v>
      </c>
      <c r="G8" t="s">
        <v>43</v>
      </c>
      <c r="H8">
        <v>13282</v>
      </c>
      <c r="I8">
        <v>29218</v>
      </c>
      <c r="J8">
        <v>512</v>
      </c>
      <c r="K8">
        <v>3952</v>
      </c>
      <c r="L8">
        <f t="shared" si="0"/>
        <v>25266</v>
      </c>
    </row>
    <row r="9" spans="1:12" x14ac:dyDescent="0.3">
      <c r="A9" s="41">
        <v>45901</v>
      </c>
      <c r="B9">
        <v>2025</v>
      </c>
      <c r="C9">
        <v>9</v>
      </c>
      <c r="D9" t="s">
        <v>5</v>
      </c>
      <c r="E9" t="s">
        <v>29</v>
      </c>
      <c r="F9">
        <v>201</v>
      </c>
      <c r="G9" t="s">
        <v>44</v>
      </c>
      <c r="H9">
        <v>224</v>
      </c>
      <c r="I9">
        <v>1313</v>
      </c>
      <c r="J9">
        <v>106</v>
      </c>
      <c r="K9">
        <v>2445</v>
      </c>
      <c r="L9">
        <f t="shared" si="0"/>
        <v>-1132</v>
      </c>
    </row>
    <row r="10" spans="1:12" x14ac:dyDescent="0.3">
      <c r="A10" s="41">
        <v>45901</v>
      </c>
      <c r="B10">
        <v>2025</v>
      </c>
      <c r="C10">
        <v>9</v>
      </c>
      <c r="D10" t="s">
        <v>5</v>
      </c>
      <c r="E10" t="s">
        <v>29</v>
      </c>
      <c r="F10">
        <v>202</v>
      </c>
      <c r="G10" t="s">
        <v>45</v>
      </c>
      <c r="H10">
        <v>13805</v>
      </c>
      <c r="I10">
        <v>56788</v>
      </c>
      <c r="J10">
        <v>1074</v>
      </c>
      <c r="K10">
        <v>8194</v>
      </c>
      <c r="L10">
        <f t="shared" si="0"/>
        <v>48594</v>
      </c>
    </row>
    <row r="11" spans="1:12" x14ac:dyDescent="0.3">
      <c r="A11" s="41">
        <v>45901</v>
      </c>
      <c r="B11">
        <v>2025</v>
      </c>
      <c r="C11">
        <v>9</v>
      </c>
      <c r="D11" t="s">
        <v>5</v>
      </c>
      <c r="E11" t="s">
        <v>29</v>
      </c>
      <c r="F11">
        <v>401</v>
      </c>
      <c r="G11" t="s">
        <v>7</v>
      </c>
      <c r="H11">
        <v>14775</v>
      </c>
      <c r="I11">
        <v>11882</v>
      </c>
      <c r="J11">
        <v>2317</v>
      </c>
      <c r="K11">
        <v>3644</v>
      </c>
      <c r="L11">
        <f t="shared" si="0"/>
        <v>8238</v>
      </c>
    </row>
    <row r="12" spans="1:12" x14ac:dyDescent="0.3">
      <c r="A12" s="41">
        <v>45901</v>
      </c>
      <c r="B12">
        <v>2025</v>
      </c>
      <c r="C12">
        <v>9</v>
      </c>
      <c r="D12" t="s">
        <v>5</v>
      </c>
      <c r="E12" t="s">
        <v>29</v>
      </c>
      <c r="F12">
        <v>402</v>
      </c>
      <c r="G12" t="s">
        <v>8</v>
      </c>
      <c r="H12">
        <v>28710</v>
      </c>
      <c r="I12">
        <v>73683</v>
      </c>
      <c r="J12">
        <v>1428</v>
      </c>
      <c r="K12">
        <v>5385</v>
      </c>
      <c r="L12">
        <f t="shared" si="0"/>
        <v>68298</v>
      </c>
    </row>
    <row r="13" spans="1:12" x14ac:dyDescent="0.3">
      <c r="A13" s="41">
        <v>45901</v>
      </c>
      <c r="B13">
        <v>2025</v>
      </c>
      <c r="C13">
        <v>9</v>
      </c>
      <c r="D13" t="s">
        <v>5</v>
      </c>
      <c r="E13" t="s">
        <v>29</v>
      </c>
      <c r="F13">
        <v>403</v>
      </c>
      <c r="G13" t="s">
        <v>23</v>
      </c>
      <c r="H13">
        <v>4476</v>
      </c>
      <c r="I13">
        <v>6641</v>
      </c>
      <c r="J13">
        <v>6811</v>
      </c>
      <c r="K13">
        <v>14365</v>
      </c>
      <c r="L13">
        <f t="shared" si="0"/>
        <v>-7724</v>
      </c>
    </row>
    <row r="14" spans="1:12" x14ac:dyDescent="0.3">
      <c r="A14" s="41">
        <v>45901</v>
      </c>
      <c r="B14">
        <v>2025</v>
      </c>
      <c r="C14">
        <v>9</v>
      </c>
      <c r="D14" t="s">
        <v>5</v>
      </c>
      <c r="E14" t="s">
        <v>29</v>
      </c>
      <c r="F14">
        <v>404</v>
      </c>
      <c r="G14" t="s">
        <v>9</v>
      </c>
      <c r="H14">
        <v>12498</v>
      </c>
      <c r="I14">
        <v>11969</v>
      </c>
      <c r="J14">
        <v>4110</v>
      </c>
      <c r="K14">
        <v>7833</v>
      </c>
      <c r="L14">
        <f t="shared" si="0"/>
        <v>4136</v>
      </c>
    </row>
    <row r="15" spans="1:12" x14ac:dyDescent="0.3">
      <c r="A15" s="41">
        <v>45901</v>
      </c>
      <c r="B15">
        <v>2025</v>
      </c>
      <c r="C15">
        <v>9</v>
      </c>
      <c r="D15" t="s">
        <v>5</v>
      </c>
      <c r="E15" t="s">
        <v>29</v>
      </c>
      <c r="F15">
        <v>405</v>
      </c>
      <c r="G15" t="s">
        <v>10</v>
      </c>
      <c r="H15">
        <v>12698</v>
      </c>
      <c r="I15">
        <v>91677</v>
      </c>
      <c r="J15">
        <v>978</v>
      </c>
      <c r="K15">
        <v>9677</v>
      </c>
      <c r="L15">
        <f t="shared" si="0"/>
        <v>82000</v>
      </c>
    </row>
    <row r="16" spans="1:12" x14ac:dyDescent="0.3">
      <c r="A16" s="41">
        <v>45901</v>
      </c>
      <c r="B16">
        <v>2025</v>
      </c>
      <c r="C16">
        <v>9</v>
      </c>
      <c r="D16" t="s">
        <v>5</v>
      </c>
      <c r="E16" t="s">
        <v>29</v>
      </c>
      <c r="F16">
        <v>406</v>
      </c>
      <c r="G16" t="s">
        <v>11</v>
      </c>
      <c r="H16">
        <v>10572</v>
      </c>
      <c r="I16">
        <v>48275</v>
      </c>
      <c r="J16">
        <v>29598</v>
      </c>
      <c r="K16">
        <v>188915</v>
      </c>
      <c r="L16">
        <f t="shared" si="0"/>
        <v>-140640</v>
      </c>
    </row>
    <row r="17" spans="1:12" x14ac:dyDescent="0.3">
      <c r="A17" s="41">
        <v>45901</v>
      </c>
      <c r="B17">
        <v>2025</v>
      </c>
      <c r="C17">
        <v>9</v>
      </c>
      <c r="D17" t="s">
        <v>5</v>
      </c>
      <c r="E17" t="s">
        <v>29</v>
      </c>
      <c r="F17">
        <v>2105</v>
      </c>
      <c r="G17" t="s">
        <v>25</v>
      </c>
      <c r="H17">
        <v>14169</v>
      </c>
      <c r="I17">
        <v>52098</v>
      </c>
      <c r="J17">
        <v>1398</v>
      </c>
      <c r="K17">
        <v>7575</v>
      </c>
      <c r="L17">
        <f t="shared" si="0"/>
        <v>44523</v>
      </c>
    </row>
    <row r="18" spans="1:12" x14ac:dyDescent="0.3">
      <c r="A18" s="41">
        <v>45901</v>
      </c>
      <c r="B18">
        <v>2025</v>
      </c>
      <c r="C18">
        <v>9</v>
      </c>
      <c r="D18" t="s">
        <v>5</v>
      </c>
      <c r="E18" t="s">
        <v>29</v>
      </c>
      <c r="F18">
        <v>3501</v>
      </c>
      <c r="G18" t="s">
        <v>26</v>
      </c>
      <c r="H18">
        <v>4255</v>
      </c>
      <c r="I18">
        <v>26976</v>
      </c>
      <c r="J18">
        <v>73</v>
      </c>
      <c r="K18">
        <v>468</v>
      </c>
      <c r="L18">
        <f t="shared" si="0"/>
        <v>26508</v>
      </c>
    </row>
    <row r="19" spans="1:12" x14ac:dyDescent="0.3">
      <c r="A19" s="41">
        <v>45870</v>
      </c>
      <c r="B19">
        <v>2025</v>
      </c>
      <c r="C19">
        <v>8</v>
      </c>
      <c r="D19" t="s">
        <v>6</v>
      </c>
      <c r="E19" t="s">
        <v>30</v>
      </c>
      <c r="F19">
        <v>401</v>
      </c>
      <c r="G19" t="s">
        <v>7</v>
      </c>
      <c r="H19">
        <v>12696</v>
      </c>
      <c r="I19">
        <v>10173</v>
      </c>
      <c r="J19">
        <v>1763</v>
      </c>
      <c r="K19">
        <v>2968</v>
      </c>
      <c r="L19">
        <f t="shared" ref="L19:L26" si="1">I19-K19</f>
        <v>7205</v>
      </c>
    </row>
    <row r="20" spans="1:12" x14ac:dyDescent="0.3">
      <c r="A20" s="41">
        <v>45870</v>
      </c>
      <c r="B20">
        <v>2025</v>
      </c>
      <c r="C20">
        <v>8</v>
      </c>
      <c r="D20" t="s">
        <v>6</v>
      </c>
      <c r="E20" t="s">
        <v>30</v>
      </c>
      <c r="F20">
        <v>402</v>
      </c>
      <c r="G20" t="s">
        <v>8</v>
      </c>
      <c r="H20">
        <v>26894</v>
      </c>
      <c r="I20">
        <v>69123</v>
      </c>
      <c r="J20">
        <v>1162</v>
      </c>
      <c r="K20">
        <v>4187</v>
      </c>
      <c r="L20">
        <f t="shared" si="1"/>
        <v>64936</v>
      </c>
    </row>
    <row r="21" spans="1:12" x14ac:dyDescent="0.3">
      <c r="A21" s="41">
        <v>45870</v>
      </c>
      <c r="B21">
        <v>2025</v>
      </c>
      <c r="C21">
        <v>8</v>
      </c>
      <c r="D21" t="s">
        <v>6</v>
      </c>
      <c r="E21" t="s">
        <v>30</v>
      </c>
      <c r="F21">
        <v>403</v>
      </c>
      <c r="G21" t="s">
        <v>23</v>
      </c>
      <c r="H21">
        <v>3896</v>
      </c>
      <c r="I21">
        <v>5705</v>
      </c>
      <c r="J21">
        <v>6179</v>
      </c>
      <c r="K21">
        <v>12930</v>
      </c>
      <c r="L21">
        <f t="shared" si="1"/>
        <v>-7225</v>
      </c>
    </row>
    <row r="22" spans="1:12" x14ac:dyDescent="0.3">
      <c r="A22" s="41">
        <v>45870</v>
      </c>
      <c r="B22">
        <v>2025</v>
      </c>
      <c r="C22">
        <v>8</v>
      </c>
      <c r="D22" t="s">
        <v>6</v>
      </c>
      <c r="E22" t="s">
        <v>30</v>
      </c>
      <c r="F22">
        <v>404</v>
      </c>
      <c r="G22" t="s">
        <v>9</v>
      </c>
      <c r="H22">
        <v>11447</v>
      </c>
      <c r="I22">
        <v>10833</v>
      </c>
      <c r="J22">
        <v>3151</v>
      </c>
      <c r="K22">
        <v>6037</v>
      </c>
      <c r="L22">
        <f t="shared" si="1"/>
        <v>4796</v>
      </c>
    </row>
    <row r="23" spans="1:12" x14ac:dyDescent="0.3">
      <c r="A23" s="41">
        <v>45870</v>
      </c>
      <c r="B23">
        <v>2025</v>
      </c>
      <c r="C23">
        <v>8</v>
      </c>
      <c r="D23" t="s">
        <v>6</v>
      </c>
      <c r="E23" t="s">
        <v>30</v>
      </c>
      <c r="F23">
        <v>405</v>
      </c>
      <c r="G23" t="s">
        <v>10</v>
      </c>
      <c r="H23">
        <v>11782</v>
      </c>
      <c r="I23">
        <v>84822</v>
      </c>
      <c r="J23">
        <v>732</v>
      </c>
      <c r="K23">
        <v>7351</v>
      </c>
      <c r="L23">
        <f t="shared" si="1"/>
        <v>77471</v>
      </c>
    </row>
    <row r="24" spans="1:12" x14ac:dyDescent="0.3">
      <c r="A24" s="41">
        <v>45870</v>
      </c>
      <c r="B24">
        <v>2025</v>
      </c>
      <c r="C24">
        <v>8</v>
      </c>
      <c r="D24" t="s">
        <v>6</v>
      </c>
      <c r="E24" t="s">
        <v>30</v>
      </c>
      <c r="F24">
        <v>406</v>
      </c>
      <c r="G24" t="s">
        <v>11</v>
      </c>
      <c r="H24">
        <v>9358</v>
      </c>
      <c r="I24">
        <v>42810</v>
      </c>
      <c r="J24">
        <v>25988</v>
      </c>
      <c r="K24">
        <v>164793</v>
      </c>
      <c r="L24">
        <f t="shared" si="1"/>
        <v>-121983</v>
      </c>
    </row>
    <row r="25" spans="1:12" x14ac:dyDescent="0.3">
      <c r="A25" s="41">
        <v>45870</v>
      </c>
      <c r="B25">
        <v>2025</v>
      </c>
      <c r="C25">
        <v>8</v>
      </c>
      <c r="D25" t="s">
        <v>6</v>
      </c>
      <c r="E25" t="s">
        <v>30</v>
      </c>
      <c r="F25">
        <v>2105</v>
      </c>
      <c r="G25" t="s">
        <v>25</v>
      </c>
      <c r="H25">
        <v>13479</v>
      </c>
      <c r="I25">
        <v>49497</v>
      </c>
      <c r="J25">
        <v>1361</v>
      </c>
      <c r="K25">
        <v>7391</v>
      </c>
      <c r="L25">
        <f t="shared" si="1"/>
        <v>42106</v>
      </c>
    </row>
    <row r="26" spans="1:12" x14ac:dyDescent="0.3">
      <c r="A26" s="41">
        <v>45870</v>
      </c>
      <c r="B26">
        <v>2025</v>
      </c>
      <c r="C26">
        <v>8</v>
      </c>
      <c r="D26" t="s">
        <v>6</v>
      </c>
      <c r="E26" t="s">
        <v>30</v>
      </c>
      <c r="F26">
        <v>3501</v>
      </c>
      <c r="G26" t="s">
        <v>26</v>
      </c>
      <c r="H26">
        <v>3948</v>
      </c>
      <c r="I26">
        <v>25103</v>
      </c>
      <c r="J26">
        <v>70</v>
      </c>
      <c r="K26">
        <v>448</v>
      </c>
      <c r="L26">
        <f t="shared" si="1"/>
        <v>24655</v>
      </c>
    </row>
    <row r="27" spans="1:12" x14ac:dyDescent="0.3">
      <c r="A27" s="41">
        <v>45536</v>
      </c>
      <c r="B27">
        <v>2024</v>
      </c>
      <c r="C27">
        <v>9</v>
      </c>
      <c r="D27" t="s">
        <v>5</v>
      </c>
      <c r="E27" t="s">
        <v>31</v>
      </c>
      <c r="F27">
        <v>401</v>
      </c>
      <c r="G27" t="s">
        <v>7</v>
      </c>
      <c r="H27">
        <v>20234.099999999999</v>
      </c>
      <c r="I27">
        <v>12826.4</v>
      </c>
      <c r="J27">
        <v>1252.4000000000001</v>
      </c>
      <c r="K27">
        <v>2741.1</v>
      </c>
      <c r="L27">
        <f t="shared" si="0"/>
        <v>10085.299999999999</v>
      </c>
    </row>
    <row r="28" spans="1:12" x14ac:dyDescent="0.3">
      <c r="A28" s="41">
        <v>45536</v>
      </c>
      <c r="B28">
        <v>2024</v>
      </c>
      <c r="C28">
        <v>9</v>
      </c>
      <c r="D28" t="s">
        <v>5</v>
      </c>
      <c r="E28" t="s">
        <v>31</v>
      </c>
      <c r="F28">
        <v>402</v>
      </c>
      <c r="G28" t="s">
        <v>8</v>
      </c>
      <c r="H28">
        <v>23019.4</v>
      </c>
      <c r="I28">
        <v>57372.4</v>
      </c>
      <c r="J28">
        <v>891</v>
      </c>
      <c r="K28">
        <v>3062.4</v>
      </c>
      <c r="L28">
        <f t="shared" si="0"/>
        <v>54310</v>
      </c>
    </row>
    <row r="29" spans="1:12" x14ac:dyDescent="0.3">
      <c r="A29" s="41">
        <v>45536</v>
      </c>
      <c r="B29">
        <v>2024</v>
      </c>
      <c r="C29">
        <v>9</v>
      </c>
      <c r="D29" t="s">
        <v>5</v>
      </c>
      <c r="E29" t="s">
        <v>31</v>
      </c>
      <c r="F29">
        <v>403</v>
      </c>
      <c r="G29" t="s">
        <v>23</v>
      </c>
      <c r="H29">
        <v>3175.4</v>
      </c>
      <c r="I29">
        <v>4210.8</v>
      </c>
      <c r="J29">
        <v>5817.6</v>
      </c>
      <c r="K29">
        <v>12071.9</v>
      </c>
      <c r="L29">
        <f t="shared" si="0"/>
        <v>-7861.0999999999995</v>
      </c>
    </row>
    <row r="30" spans="1:12" x14ac:dyDescent="0.3">
      <c r="A30" s="41">
        <v>45536</v>
      </c>
      <c r="B30">
        <v>2024</v>
      </c>
      <c r="C30">
        <v>9</v>
      </c>
      <c r="D30" t="s">
        <v>5</v>
      </c>
      <c r="E30" t="s">
        <v>31</v>
      </c>
      <c r="F30">
        <v>404</v>
      </c>
      <c r="G30" t="s">
        <v>9</v>
      </c>
      <c r="H30">
        <v>15724.3</v>
      </c>
      <c r="I30">
        <v>10683.4</v>
      </c>
      <c r="J30">
        <v>4531.6000000000004</v>
      </c>
      <c r="K30">
        <v>7909.2</v>
      </c>
      <c r="L30">
        <f t="shared" si="0"/>
        <v>2774.2</v>
      </c>
    </row>
    <row r="31" spans="1:12" x14ac:dyDescent="0.3">
      <c r="A31" s="41">
        <v>45536</v>
      </c>
      <c r="B31">
        <v>2024</v>
      </c>
      <c r="C31">
        <v>9</v>
      </c>
      <c r="D31" t="s">
        <v>5</v>
      </c>
      <c r="E31" t="s">
        <v>31</v>
      </c>
      <c r="F31">
        <v>405</v>
      </c>
      <c r="G31" t="s">
        <v>10</v>
      </c>
      <c r="H31">
        <v>5292.6</v>
      </c>
      <c r="I31">
        <v>34442.199999999997</v>
      </c>
      <c r="J31">
        <v>2043.9</v>
      </c>
      <c r="K31">
        <v>13746.1</v>
      </c>
      <c r="L31">
        <f t="shared" si="0"/>
        <v>20696.099999999999</v>
      </c>
    </row>
    <row r="32" spans="1:12" x14ac:dyDescent="0.3">
      <c r="A32" s="41">
        <v>45536</v>
      </c>
      <c r="B32">
        <v>2024</v>
      </c>
      <c r="C32">
        <v>9</v>
      </c>
      <c r="D32" t="s">
        <v>5</v>
      </c>
      <c r="E32" t="s">
        <v>31</v>
      </c>
      <c r="F32">
        <v>406</v>
      </c>
      <c r="G32" t="s">
        <v>11</v>
      </c>
      <c r="H32">
        <v>8706.2000000000007</v>
      </c>
      <c r="I32">
        <v>37462.9</v>
      </c>
      <c r="J32">
        <v>25832.2</v>
      </c>
      <c r="K32">
        <v>152829.79999999999</v>
      </c>
      <c r="L32">
        <f t="shared" si="0"/>
        <v>-115366.9</v>
      </c>
    </row>
    <row r="33" spans="1:12" x14ac:dyDescent="0.3">
      <c r="A33" s="41">
        <v>45536</v>
      </c>
      <c r="B33">
        <v>2024</v>
      </c>
      <c r="C33">
        <v>9</v>
      </c>
      <c r="D33" t="s">
        <v>5</v>
      </c>
      <c r="E33" t="s">
        <v>31</v>
      </c>
      <c r="F33">
        <v>2105</v>
      </c>
      <c r="G33" t="s">
        <v>25</v>
      </c>
      <c r="H33">
        <v>11368.1</v>
      </c>
      <c r="I33">
        <v>37509</v>
      </c>
      <c r="J33">
        <v>1460.2</v>
      </c>
      <c r="K33">
        <v>6813.2</v>
      </c>
      <c r="L33">
        <f t="shared" si="0"/>
        <v>30695.8</v>
      </c>
    </row>
    <row r="34" spans="1:12" x14ac:dyDescent="0.3">
      <c r="A34" s="41">
        <v>45536</v>
      </c>
      <c r="B34">
        <v>2024</v>
      </c>
      <c r="C34">
        <v>9</v>
      </c>
      <c r="D34" t="s">
        <v>5</v>
      </c>
      <c r="E34" t="s">
        <v>31</v>
      </c>
      <c r="F34">
        <v>3501</v>
      </c>
      <c r="G34" t="s">
        <v>26</v>
      </c>
      <c r="H34">
        <v>5026</v>
      </c>
      <c r="I34">
        <v>30233</v>
      </c>
      <c r="J34">
        <v>20</v>
      </c>
      <c r="K34">
        <v>141</v>
      </c>
      <c r="L34">
        <f t="shared" si="0"/>
        <v>30092</v>
      </c>
    </row>
    <row r="35" spans="1:12" x14ac:dyDescent="0.3">
      <c r="A35" s="41">
        <v>45566</v>
      </c>
      <c r="B35">
        <v>2024</v>
      </c>
      <c r="C35">
        <v>10</v>
      </c>
      <c r="D35" t="s">
        <v>12</v>
      </c>
      <c r="E35" t="s">
        <v>32</v>
      </c>
      <c r="F35">
        <v>401</v>
      </c>
      <c r="G35" t="s">
        <v>7</v>
      </c>
      <c r="H35">
        <v>22798.400000000001</v>
      </c>
      <c r="I35">
        <v>14648.7</v>
      </c>
      <c r="J35">
        <v>1466</v>
      </c>
      <c r="K35">
        <v>3142.9</v>
      </c>
      <c r="L35">
        <f t="shared" si="0"/>
        <v>11505.800000000001</v>
      </c>
    </row>
    <row r="36" spans="1:12" x14ac:dyDescent="0.3">
      <c r="A36" s="41">
        <v>45566</v>
      </c>
      <c r="B36">
        <v>2024</v>
      </c>
      <c r="C36">
        <v>10</v>
      </c>
      <c r="D36" t="s">
        <v>12</v>
      </c>
      <c r="E36" t="s">
        <v>32</v>
      </c>
      <c r="F36">
        <v>402</v>
      </c>
      <c r="G36" t="s">
        <v>8</v>
      </c>
      <c r="H36">
        <v>25115.1</v>
      </c>
      <c r="I36">
        <v>62589.4</v>
      </c>
      <c r="J36">
        <v>1111.0999999999999</v>
      </c>
      <c r="K36">
        <v>3790.3</v>
      </c>
      <c r="L36">
        <f t="shared" si="0"/>
        <v>58799.1</v>
      </c>
    </row>
    <row r="37" spans="1:12" x14ac:dyDescent="0.3">
      <c r="A37" s="41">
        <v>45566</v>
      </c>
      <c r="B37">
        <v>2024</v>
      </c>
      <c r="C37">
        <v>10</v>
      </c>
      <c r="D37" t="s">
        <v>12</v>
      </c>
      <c r="E37" t="s">
        <v>32</v>
      </c>
      <c r="F37">
        <v>403</v>
      </c>
      <c r="G37" t="s">
        <v>23</v>
      </c>
      <c r="H37">
        <v>3616.9</v>
      </c>
      <c r="I37">
        <v>4836.3</v>
      </c>
      <c r="J37">
        <v>6531.1</v>
      </c>
      <c r="K37">
        <v>13518.4</v>
      </c>
      <c r="L37">
        <f t="shared" si="0"/>
        <v>-8682.0999999999985</v>
      </c>
    </row>
    <row r="38" spans="1:12" x14ac:dyDescent="0.3">
      <c r="A38" s="41">
        <v>45566</v>
      </c>
      <c r="B38">
        <v>2024</v>
      </c>
      <c r="C38">
        <v>10</v>
      </c>
      <c r="D38" t="s">
        <v>12</v>
      </c>
      <c r="E38" t="s">
        <v>32</v>
      </c>
      <c r="F38">
        <v>404</v>
      </c>
      <c r="G38" t="s">
        <v>9</v>
      </c>
      <c r="H38">
        <v>16536.099999999999</v>
      </c>
      <c r="I38">
        <v>11377.2</v>
      </c>
      <c r="J38">
        <v>5044.3999999999996</v>
      </c>
      <c r="K38">
        <v>8806</v>
      </c>
      <c r="L38">
        <f t="shared" si="0"/>
        <v>2571.2000000000007</v>
      </c>
    </row>
    <row r="39" spans="1:12" x14ac:dyDescent="0.3">
      <c r="A39" s="41">
        <v>45566</v>
      </c>
      <c r="B39">
        <v>2024</v>
      </c>
      <c r="C39">
        <v>10</v>
      </c>
      <c r="D39" t="s">
        <v>12</v>
      </c>
      <c r="E39" t="s">
        <v>32</v>
      </c>
      <c r="F39">
        <v>405</v>
      </c>
      <c r="G39" t="s">
        <v>10</v>
      </c>
      <c r="H39">
        <v>6097.6</v>
      </c>
      <c r="I39">
        <v>40537.699999999997</v>
      </c>
      <c r="J39">
        <v>2193</v>
      </c>
      <c r="K39">
        <v>15079</v>
      </c>
      <c r="L39">
        <f t="shared" si="0"/>
        <v>25458.699999999997</v>
      </c>
    </row>
    <row r="40" spans="1:12" x14ac:dyDescent="0.3">
      <c r="A40" s="41">
        <v>45566</v>
      </c>
      <c r="B40">
        <v>2024</v>
      </c>
      <c r="C40">
        <v>10</v>
      </c>
      <c r="D40" t="s">
        <v>12</v>
      </c>
      <c r="E40" t="s">
        <v>32</v>
      </c>
      <c r="F40">
        <v>406</v>
      </c>
      <c r="G40" t="s">
        <v>11</v>
      </c>
      <c r="H40">
        <v>10118.1</v>
      </c>
      <c r="I40">
        <v>43637.5</v>
      </c>
      <c r="J40">
        <v>28914.2</v>
      </c>
      <c r="K40">
        <v>171103.8</v>
      </c>
      <c r="L40">
        <f t="shared" si="0"/>
        <v>-127466.29999999999</v>
      </c>
    </row>
    <row r="41" spans="1:12" x14ac:dyDescent="0.3">
      <c r="A41" s="41">
        <v>45566</v>
      </c>
      <c r="B41">
        <v>2024</v>
      </c>
      <c r="C41">
        <v>10</v>
      </c>
      <c r="D41" t="s">
        <v>12</v>
      </c>
      <c r="E41" t="s">
        <v>32</v>
      </c>
      <c r="F41">
        <v>2105</v>
      </c>
      <c r="G41" t="s">
        <v>25</v>
      </c>
      <c r="H41">
        <v>11783.6</v>
      </c>
      <c r="I41">
        <v>39001.300000000003</v>
      </c>
      <c r="J41">
        <v>1488.9</v>
      </c>
      <c r="K41">
        <v>6961.3</v>
      </c>
      <c r="L41">
        <f t="shared" si="0"/>
        <v>32040.000000000004</v>
      </c>
    </row>
    <row r="42" spans="1:12" x14ac:dyDescent="0.3">
      <c r="A42" s="41">
        <v>45566</v>
      </c>
      <c r="B42">
        <v>2024</v>
      </c>
      <c r="C42">
        <v>10</v>
      </c>
      <c r="D42" t="s">
        <v>12</v>
      </c>
      <c r="E42" t="s">
        <v>32</v>
      </c>
      <c r="F42">
        <v>3501</v>
      </c>
      <c r="G42" t="s">
        <v>26</v>
      </c>
      <c r="H42">
        <v>5581</v>
      </c>
      <c r="I42">
        <v>33516</v>
      </c>
      <c r="J42">
        <v>26</v>
      </c>
      <c r="K42">
        <v>180</v>
      </c>
      <c r="L42">
        <f t="shared" si="0"/>
        <v>33336</v>
      </c>
    </row>
    <row r="43" spans="1:12" x14ac:dyDescent="0.3">
      <c r="A43" s="41">
        <v>45566</v>
      </c>
      <c r="B43">
        <v>2024</v>
      </c>
      <c r="C43">
        <v>10</v>
      </c>
      <c r="D43" t="s">
        <v>12</v>
      </c>
      <c r="E43" t="s">
        <v>32</v>
      </c>
      <c r="F43">
        <v>102</v>
      </c>
      <c r="G43" t="s">
        <v>43</v>
      </c>
      <c r="H43">
        <v>12851.1</v>
      </c>
      <c r="I43">
        <v>24325.3</v>
      </c>
      <c r="J43">
        <v>470</v>
      </c>
      <c r="K43">
        <v>2989</v>
      </c>
      <c r="L43">
        <f t="shared" si="0"/>
        <v>21336.3</v>
      </c>
    </row>
    <row r="44" spans="1:12" x14ac:dyDescent="0.3">
      <c r="A44" s="41">
        <v>45566</v>
      </c>
      <c r="B44">
        <v>2024</v>
      </c>
      <c r="C44">
        <v>10</v>
      </c>
      <c r="D44" t="s">
        <v>12</v>
      </c>
      <c r="E44" t="s">
        <v>32</v>
      </c>
      <c r="F44">
        <v>201</v>
      </c>
      <c r="G44" t="s">
        <v>44</v>
      </c>
      <c r="H44">
        <v>887.6</v>
      </c>
      <c r="I44">
        <v>5573.6</v>
      </c>
      <c r="J44">
        <v>124.1</v>
      </c>
      <c r="K44">
        <v>2476.4</v>
      </c>
      <c r="L44">
        <f t="shared" si="0"/>
        <v>3097.2000000000003</v>
      </c>
    </row>
    <row r="45" spans="1:12" x14ac:dyDescent="0.3">
      <c r="A45" s="41">
        <v>45566</v>
      </c>
      <c r="B45">
        <v>2024</v>
      </c>
      <c r="C45">
        <v>10</v>
      </c>
      <c r="D45" t="s">
        <v>12</v>
      </c>
      <c r="E45" t="s">
        <v>32</v>
      </c>
      <c r="F45">
        <v>202</v>
      </c>
      <c r="G45" t="s">
        <v>45</v>
      </c>
      <c r="H45">
        <v>14754.6</v>
      </c>
      <c r="I45">
        <v>59124.1</v>
      </c>
      <c r="J45">
        <v>2124.9</v>
      </c>
      <c r="K45">
        <v>11319.9</v>
      </c>
      <c r="L45">
        <f t="shared" si="0"/>
        <v>47804.2</v>
      </c>
    </row>
    <row r="46" spans="1:12" x14ac:dyDescent="0.3">
      <c r="A46" s="41">
        <v>45597</v>
      </c>
      <c r="B46">
        <v>2024</v>
      </c>
      <c r="C46">
        <v>11</v>
      </c>
      <c r="D46" t="s">
        <v>13</v>
      </c>
      <c r="E46" t="s">
        <v>33</v>
      </c>
      <c r="F46">
        <v>401</v>
      </c>
      <c r="G46" t="s">
        <v>7</v>
      </c>
      <c r="H46">
        <v>24708</v>
      </c>
      <c r="I46">
        <v>16080</v>
      </c>
      <c r="J46">
        <v>1625</v>
      </c>
      <c r="K46">
        <v>3460</v>
      </c>
      <c r="L46">
        <f t="shared" si="0"/>
        <v>12620</v>
      </c>
    </row>
    <row r="47" spans="1:12" x14ac:dyDescent="0.3">
      <c r="A47" s="41">
        <v>45597</v>
      </c>
      <c r="B47">
        <v>2024</v>
      </c>
      <c r="C47">
        <v>11</v>
      </c>
      <c r="D47" t="s">
        <v>13</v>
      </c>
      <c r="E47" t="s">
        <v>33</v>
      </c>
      <c r="F47">
        <v>402</v>
      </c>
      <c r="G47" t="s">
        <v>8</v>
      </c>
      <c r="H47">
        <v>27477</v>
      </c>
      <c r="I47">
        <v>68802</v>
      </c>
      <c r="J47">
        <v>1253</v>
      </c>
      <c r="K47">
        <v>4264</v>
      </c>
      <c r="L47">
        <f t="shared" si="0"/>
        <v>64538</v>
      </c>
    </row>
    <row r="48" spans="1:12" x14ac:dyDescent="0.3">
      <c r="A48" s="41">
        <v>45597</v>
      </c>
      <c r="B48">
        <v>2024</v>
      </c>
      <c r="C48">
        <v>11</v>
      </c>
      <c r="D48" t="s">
        <v>13</v>
      </c>
      <c r="E48" t="s">
        <v>33</v>
      </c>
      <c r="F48">
        <v>403</v>
      </c>
      <c r="G48" t="s">
        <v>23</v>
      </c>
      <c r="H48">
        <v>3993</v>
      </c>
      <c r="I48">
        <v>5364</v>
      </c>
      <c r="J48">
        <v>7395</v>
      </c>
      <c r="K48">
        <v>15276</v>
      </c>
      <c r="L48">
        <f t="shared" si="0"/>
        <v>-9912</v>
      </c>
    </row>
    <row r="49" spans="1:12" x14ac:dyDescent="0.3">
      <c r="A49" s="41">
        <v>45597</v>
      </c>
      <c r="B49">
        <v>2024</v>
      </c>
      <c r="C49">
        <v>11</v>
      </c>
      <c r="D49" t="s">
        <v>13</v>
      </c>
      <c r="E49" t="s">
        <v>33</v>
      </c>
      <c r="F49">
        <v>404</v>
      </c>
      <c r="G49" t="s">
        <v>9</v>
      </c>
      <c r="H49">
        <v>17391</v>
      </c>
      <c r="I49">
        <v>12202</v>
      </c>
      <c r="J49">
        <v>5550</v>
      </c>
      <c r="K49">
        <v>9480</v>
      </c>
      <c r="L49">
        <f t="shared" si="0"/>
        <v>2722</v>
      </c>
    </row>
    <row r="50" spans="1:12" x14ac:dyDescent="0.3">
      <c r="A50" s="41">
        <v>45597</v>
      </c>
      <c r="B50">
        <v>2024</v>
      </c>
      <c r="C50">
        <v>11</v>
      </c>
      <c r="D50" t="s">
        <v>13</v>
      </c>
      <c r="E50" t="s">
        <v>33</v>
      </c>
      <c r="F50">
        <v>405</v>
      </c>
      <c r="G50" t="s">
        <v>10</v>
      </c>
      <c r="H50">
        <v>6740</v>
      </c>
      <c r="I50">
        <v>45510</v>
      </c>
      <c r="J50">
        <v>2344</v>
      </c>
      <c r="K50">
        <v>16421</v>
      </c>
      <c r="L50">
        <f t="shared" si="0"/>
        <v>29089</v>
      </c>
    </row>
    <row r="51" spans="1:12" x14ac:dyDescent="0.3">
      <c r="A51" s="41">
        <v>45597</v>
      </c>
      <c r="B51">
        <v>2024</v>
      </c>
      <c r="C51">
        <v>11</v>
      </c>
      <c r="D51" t="s">
        <v>13</v>
      </c>
      <c r="E51" t="s">
        <v>33</v>
      </c>
      <c r="F51">
        <v>406</v>
      </c>
      <c r="G51" t="s">
        <v>11</v>
      </c>
      <c r="H51">
        <v>11552</v>
      </c>
      <c r="I51">
        <v>50295</v>
      </c>
      <c r="J51">
        <v>32942</v>
      </c>
      <c r="K51">
        <v>195242</v>
      </c>
      <c r="L51">
        <f t="shared" si="0"/>
        <v>-144947</v>
      </c>
    </row>
    <row r="52" spans="1:12" x14ac:dyDescent="0.3">
      <c r="A52" s="41">
        <v>45597</v>
      </c>
      <c r="B52">
        <v>2024</v>
      </c>
      <c r="C52">
        <v>11</v>
      </c>
      <c r="D52" t="s">
        <v>13</v>
      </c>
      <c r="E52" t="s">
        <v>33</v>
      </c>
      <c r="F52">
        <v>2105</v>
      </c>
      <c r="G52" t="s">
        <v>25</v>
      </c>
      <c r="H52">
        <v>12082</v>
      </c>
      <c r="I52">
        <v>40021</v>
      </c>
      <c r="J52">
        <v>1523</v>
      </c>
      <c r="K52">
        <v>7214</v>
      </c>
      <c r="L52">
        <f t="shared" si="0"/>
        <v>32807</v>
      </c>
    </row>
    <row r="53" spans="1:12" x14ac:dyDescent="0.3">
      <c r="A53" s="41">
        <v>45597</v>
      </c>
      <c r="B53">
        <v>2024</v>
      </c>
      <c r="C53">
        <v>11</v>
      </c>
      <c r="D53" t="s">
        <v>13</v>
      </c>
      <c r="E53" t="s">
        <v>33</v>
      </c>
      <c r="F53">
        <v>3501</v>
      </c>
      <c r="G53" t="s">
        <v>26</v>
      </c>
      <c r="H53">
        <v>6556</v>
      </c>
      <c r="I53">
        <v>39579</v>
      </c>
      <c r="J53">
        <v>34</v>
      </c>
      <c r="K53">
        <v>221</v>
      </c>
      <c r="L53">
        <f t="shared" si="0"/>
        <v>39358</v>
      </c>
    </row>
    <row r="54" spans="1:12" x14ac:dyDescent="0.3">
      <c r="A54" s="41">
        <v>45597</v>
      </c>
      <c r="B54">
        <v>2024</v>
      </c>
      <c r="C54">
        <v>11</v>
      </c>
      <c r="D54" t="s">
        <v>13</v>
      </c>
      <c r="E54" t="s">
        <v>33</v>
      </c>
      <c r="F54">
        <v>102</v>
      </c>
      <c r="G54" t="s">
        <v>43</v>
      </c>
      <c r="H54">
        <v>14118</v>
      </c>
      <c r="I54">
        <v>26842</v>
      </c>
      <c r="J54">
        <v>470</v>
      </c>
      <c r="K54">
        <v>2989</v>
      </c>
      <c r="L54">
        <f t="shared" si="0"/>
        <v>23853</v>
      </c>
    </row>
    <row r="55" spans="1:12" x14ac:dyDescent="0.3">
      <c r="A55" s="41">
        <v>45597</v>
      </c>
      <c r="B55">
        <v>2024</v>
      </c>
      <c r="C55">
        <v>11</v>
      </c>
      <c r="D55" t="s">
        <v>13</v>
      </c>
      <c r="E55" t="s">
        <v>33</v>
      </c>
      <c r="F55">
        <v>201</v>
      </c>
      <c r="G55" t="s">
        <v>44</v>
      </c>
      <c r="H55">
        <v>888</v>
      </c>
      <c r="I55">
        <v>5579</v>
      </c>
      <c r="J55">
        <v>137</v>
      </c>
      <c r="K55">
        <v>2770</v>
      </c>
      <c r="L55">
        <f t="shared" si="0"/>
        <v>2809</v>
      </c>
    </row>
    <row r="56" spans="1:12" x14ac:dyDescent="0.3">
      <c r="A56" s="41">
        <v>45597</v>
      </c>
      <c r="B56">
        <v>2024</v>
      </c>
      <c r="C56">
        <v>11</v>
      </c>
      <c r="D56" t="s">
        <v>13</v>
      </c>
      <c r="E56" t="s">
        <v>33</v>
      </c>
      <c r="F56">
        <v>202</v>
      </c>
      <c r="G56" t="s">
        <v>45</v>
      </c>
      <c r="H56">
        <v>16750</v>
      </c>
      <c r="I56">
        <v>66770</v>
      </c>
      <c r="J56">
        <v>2345</v>
      </c>
      <c r="K56">
        <v>12553</v>
      </c>
      <c r="L56">
        <f t="shared" si="0"/>
        <v>54217</v>
      </c>
    </row>
    <row r="57" spans="1:12" x14ac:dyDescent="0.3">
      <c r="A57" s="41">
        <v>45627</v>
      </c>
      <c r="B57">
        <v>2024</v>
      </c>
      <c r="C57">
        <v>12</v>
      </c>
      <c r="D57" t="s">
        <v>14</v>
      </c>
      <c r="E57" t="s">
        <v>34</v>
      </c>
      <c r="F57">
        <v>401</v>
      </c>
      <c r="G57" t="s">
        <v>7</v>
      </c>
      <c r="H57">
        <v>26601</v>
      </c>
      <c r="I57">
        <v>17620</v>
      </c>
      <c r="J57">
        <v>2021</v>
      </c>
      <c r="K57">
        <v>4048</v>
      </c>
      <c r="L57">
        <f t="shared" si="0"/>
        <v>13572</v>
      </c>
    </row>
    <row r="58" spans="1:12" x14ac:dyDescent="0.3">
      <c r="A58" s="41">
        <v>45627</v>
      </c>
      <c r="B58">
        <v>2024</v>
      </c>
      <c r="C58">
        <v>12</v>
      </c>
      <c r="D58" t="s">
        <v>14</v>
      </c>
      <c r="E58" t="s">
        <v>34</v>
      </c>
      <c r="F58">
        <v>402</v>
      </c>
      <c r="G58" t="s">
        <v>8</v>
      </c>
      <c r="H58">
        <v>29487</v>
      </c>
      <c r="I58">
        <v>74284</v>
      </c>
      <c r="J58">
        <v>1520</v>
      </c>
      <c r="K58">
        <v>5321</v>
      </c>
      <c r="L58">
        <f t="shared" si="0"/>
        <v>68963</v>
      </c>
    </row>
    <row r="59" spans="1:12" x14ac:dyDescent="0.3">
      <c r="A59" s="41">
        <v>45627</v>
      </c>
      <c r="B59">
        <v>2024</v>
      </c>
      <c r="C59">
        <v>12</v>
      </c>
      <c r="D59" t="s">
        <v>14</v>
      </c>
      <c r="E59" t="s">
        <v>34</v>
      </c>
      <c r="F59">
        <v>403</v>
      </c>
      <c r="G59" t="s">
        <v>23</v>
      </c>
      <c r="H59">
        <v>4375</v>
      </c>
      <c r="I59">
        <v>5917</v>
      </c>
      <c r="J59">
        <v>8189</v>
      </c>
      <c r="K59">
        <v>16820</v>
      </c>
      <c r="L59">
        <f t="shared" si="0"/>
        <v>-10903</v>
      </c>
    </row>
    <row r="60" spans="1:12" x14ac:dyDescent="0.3">
      <c r="A60" s="41">
        <v>45627</v>
      </c>
      <c r="B60">
        <v>2024</v>
      </c>
      <c r="C60">
        <v>12</v>
      </c>
      <c r="D60" t="s">
        <v>14</v>
      </c>
      <c r="E60" t="s">
        <v>34</v>
      </c>
      <c r="F60">
        <v>404</v>
      </c>
      <c r="G60" t="s">
        <v>9</v>
      </c>
      <c r="H60">
        <v>18685</v>
      </c>
      <c r="I60">
        <v>13377</v>
      </c>
      <c r="J60">
        <v>6088</v>
      </c>
      <c r="K60">
        <v>10813</v>
      </c>
      <c r="L60">
        <f t="shared" si="0"/>
        <v>2564</v>
      </c>
    </row>
    <row r="61" spans="1:12" x14ac:dyDescent="0.3">
      <c r="A61" s="41">
        <v>45627</v>
      </c>
      <c r="B61">
        <v>2024</v>
      </c>
      <c r="C61">
        <v>12</v>
      </c>
      <c r="D61" t="s">
        <v>14</v>
      </c>
      <c r="E61" t="s">
        <v>34</v>
      </c>
      <c r="F61">
        <v>405</v>
      </c>
      <c r="G61" t="s">
        <v>10</v>
      </c>
      <c r="H61">
        <v>7178</v>
      </c>
      <c r="I61">
        <v>48897</v>
      </c>
      <c r="J61">
        <v>2576</v>
      </c>
      <c r="K61">
        <v>18577</v>
      </c>
      <c r="L61">
        <f t="shared" si="0"/>
        <v>30320</v>
      </c>
    </row>
    <row r="62" spans="1:12" x14ac:dyDescent="0.3">
      <c r="A62" s="41">
        <v>45627</v>
      </c>
      <c r="B62">
        <v>2024</v>
      </c>
      <c r="C62">
        <v>12</v>
      </c>
      <c r="D62" t="s">
        <v>14</v>
      </c>
      <c r="E62" t="s">
        <v>34</v>
      </c>
      <c r="F62">
        <v>406</v>
      </c>
      <c r="G62" t="s">
        <v>11</v>
      </c>
      <c r="H62">
        <v>12428</v>
      </c>
      <c r="I62">
        <v>54208</v>
      </c>
      <c r="J62">
        <v>38284</v>
      </c>
      <c r="K62">
        <v>227088</v>
      </c>
      <c r="L62">
        <f t="shared" si="0"/>
        <v>-172880</v>
      </c>
    </row>
    <row r="63" spans="1:12" x14ac:dyDescent="0.3">
      <c r="A63" s="41">
        <v>45627</v>
      </c>
      <c r="B63">
        <v>2024</v>
      </c>
      <c r="C63">
        <v>12</v>
      </c>
      <c r="D63" t="s">
        <v>14</v>
      </c>
      <c r="E63" t="s">
        <v>34</v>
      </c>
      <c r="F63">
        <v>2105</v>
      </c>
      <c r="G63" t="s">
        <v>25</v>
      </c>
      <c r="H63">
        <v>12439</v>
      </c>
      <c r="I63">
        <v>41253</v>
      </c>
      <c r="J63">
        <v>1556</v>
      </c>
      <c r="K63">
        <v>7417</v>
      </c>
      <c r="L63">
        <f t="shared" si="0"/>
        <v>33836</v>
      </c>
    </row>
    <row r="64" spans="1:12" x14ac:dyDescent="0.3">
      <c r="A64" s="41">
        <v>45627</v>
      </c>
      <c r="B64">
        <v>2024</v>
      </c>
      <c r="C64">
        <v>12</v>
      </c>
      <c r="D64" t="s">
        <v>14</v>
      </c>
      <c r="E64" t="s">
        <v>34</v>
      </c>
      <c r="F64">
        <v>3501</v>
      </c>
      <c r="G64" t="s">
        <v>26</v>
      </c>
      <c r="H64">
        <v>6831</v>
      </c>
      <c r="I64">
        <v>41258</v>
      </c>
      <c r="J64">
        <v>38</v>
      </c>
      <c r="K64">
        <v>259</v>
      </c>
      <c r="L64">
        <f t="shared" si="0"/>
        <v>40999</v>
      </c>
    </row>
    <row r="65" spans="1:12" x14ac:dyDescent="0.3">
      <c r="A65" s="41">
        <v>45627</v>
      </c>
      <c r="B65">
        <v>2024</v>
      </c>
      <c r="C65">
        <v>12</v>
      </c>
      <c r="D65" t="s">
        <v>14</v>
      </c>
      <c r="E65" t="s">
        <v>34</v>
      </c>
      <c r="F65">
        <v>102</v>
      </c>
      <c r="G65" t="s">
        <v>43</v>
      </c>
      <c r="H65">
        <v>18126</v>
      </c>
      <c r="I65">
        <v>35462</v>
      </c>
      <c r="J65">
        <v>477</v>
      </c>
      <c r="K65">
        <v>3046</v>
      </c>
      <c r="L65">
        <f t="shared" si="0"/>
        <v>32416</v>
      </c>
    </row>
    <row r="66" spans="1:12" x14ac:dyDescent="0.3">
      <c r="A66" s="41">
        <v>45627</v>
      </c>
      <c r="B66">
        <v>2024</v>
      </c>
      <c r="C66">
        <v>12</v>
      </c>
      <c r="D66" t="s">
        <v>14</v>
      </c>
      <c r="E66" t="s">
        <v>34</v>
      </c>
      <c r="F66">
        <v>201</v>
      </c>
      <c r="G66" t="s">
        <v>44</v>
      </c>
      <c r="H66">
        <v>889</v>
      </c>
      <c r="I66">
        <v>5590</v>
      </c>
      <c r="J66">
        <v>154</v>
      </c>
      <c r="K66">
        <v>3198</v>
      </c>
      <c r="L66">
        <f t="shared" si="0"/>
        <v>2392</v>
      </c>
    </row>
    <row r="67" spans="1:12" x14ac:dyDescent="0.3">
      <c r="A67" s="41">
        <v>45627</v>
      </c>
      <c r="B67">
        <v>2024</v>
      </c>
      <c r="C67">
        <v>12</v>
      </c>
      <c r="D67" t="s">
        <v>14</v>
      </c>
      <c r="E67" t="s">
        <v>34</v>
      </c>
      <c r="F67">
        <v>202</v>
      </c>
      <c r="G67" t="s">
        <v>45</v>
      </c>
      <c r="H67">
        <v>18570</v>
      </c>
      <c r="I67">
        <v>73427</v>
      </c>
      <c r="J67">
        <v>2548</v>
      </c>
      <c r="K67">
        <v>13711</v>
      </c>
      <c r="L67">
        <f t="shared" ref="L67:L130" si="2">I67-K67</f>
        <v>59716</v>
      </c>
    </row>
    <row r="68" spans="1:12" x14ac:dyDescent="0.3">
      <c r="A68" s="41">
        <v>45931</v>
      </c>
      <c r="B68">
        <v>2025</v>
      </c>
      <c r="C68">
        <v>10</v>
      </c>
      <c r="D68" t="s">
        <v>12</v>
      </c>
      <c r="E68" t="s">
        <v>35</v>
      </c>
      <c r="F68">
        <v>401</v>
      </c>
      <c r="G68" t="s">
        <v>7</v>
      </c>
      <c r="H68">
        <v>17010</v>
      </c>
      <c r="I68">
        <v>13768</v>
      </c>
      <c r="J68">
        <v>2580</v>
      </c>
      <c r="K68">
        <v>4019</v>
      </c>
      <c r="L68">
        <f t="shared" si="2"/>
        <v>9749</v>
      </c>
    </row>
    <row r="69" spans="1:12" x14ac:dyDescent="0.3">
      <c r="A69" s="41">
        <v>45931</v>
      </c>
      <c r="B69">
        <v>2025</v>
      </c>
      <c r="C69">
        <v>10</v>
      </c>
      <c r="D69" t="s">
        <v>12</v>
      </c>
      <c r="E69" t="s">
        <v>35</v>
      </c>
      <c r="F69">
        <v>402</v>
      </c>
      <c r="G69" t="s">
        <v>8</v>
      </c>
      <c r="H69">
        <v>30701</v>
      </c>
      <c r="I69">
        <v>78660</v>
      </c>
      <c r="J69">
        <v>1680</v>
      </c>
      <c r="K69">
        <v>6368</v>
      </c>
      <c r="L69">
        <f t="shared" si="2"/>
        <v>72292</v>
      </c>
    </row>
    <row r="70" spans="1:12" x14ac:dyDescent="0.3">
      <c r="A70" s="41">
        <v>45931</v>
      </c>
      <c r="B70">
        <v>2025</v>
      </c>
      <c r="C70">
        <v>10</v>
      </c>
      <c r="D70" t="s">
        <v>12</v>
      </c>
      <c r="E70" t="s">
        <v>35</v>
      </c>
      <c r="F70">
        <v>403</v>
      </c>
      <c r="G70" t="s">
        <v>23</v>
      </c>
      <c r="H70">
        <v>5083</v>
      </c>
      <c r="I70">
        <v>7655</v>
      </c>
      <c r="J70">
        <v>7546</v>
      </c>
      <c r="K70">
        <v>16065</v>
      </c>
      <c r="L70">
        <f t="shared" si="2"/>
        <v>-8410</v>
      </c>
    </row>
    <row r="71" spans="1:12" x14ac:dyDescent="0.3">
      <c r="A71" s="41">
        <v>45931</v>
      </c>
      <c r="B71">
        <v>2025</v>
      </c>
      <c r="C71">
        <v>10</v>
      </c>
      <c r="D71" t="s">
        <v>12</v>
      </c>
      <c r="E71" t="s">
        <v>35</v>
      </c>
      <c r="F71">
        <v>404</v>
      </c>
      <c r="G71" t="s">
        <v>9</v>
      </c>
      <c r="H71">
        <v>13814</v>
      </c>
      <c r="I71">
        <v>13417</v>
      </c>
      <c r="J71">
        <v>4662</v>
      </c>
      <c r="K71">
        <v>9250</v>
      </c>
      <c r="L71">
        <f t="shared" si="2"/>
        <v>4167</v>
      </c>
    </row>
    <row r="72" spans="1:12" x14ac:dyDescent="0.3">
      <c r="A72" s="41">
        <v>45931</v>
      </c>
      <c r="B72">
        <v>2025</v>
      </c>
      <c r="C72">
        <v>10</v>
      </c>
      <c r="D72" t="s">
        <v>12</v>
      </c>
      <c r="E72" t="s">
        <v>35</v>
      </c>
      <c r="F72">
        <v>405</v>
      </c>
      <c r="G72" t="s">
        <v>10</v>
      </c>
      <c r="H72">
        <v>13412</v>
      </c>
      <c r="I72">
        <v>96883</v>
      </c>
      <c r="J72">
        <v>1207</v>
      </c>
      <c r="K72">
        <v>11697</v>
      </c>
      <c r="L72">
        <f t="shared" si="2"/>
        <v>85186</v>
      </c>
    </row>
    <row r="73" spans="1:12" x14ac:dyDescent="0.3">
      <c r="A73" s="41">
        <v>45931</v>
      </c>
      <c r="B73">
        <v>2025</v>
      </c>
      <c r="C73">
        <v>10</v>
      </c>
      <c r="D73" t="s">
        <v>12</v>
      </c>
      <c r="E73" t="s">
        <v>35</v>
      </c>
      <c r="F73">
        <v>406</v>
      </c>
      <c r="G73" t="s">
        <v>11</v>
      </c>
      <c r="H73">
        <v>11985</v>
      </c>
      <c r="I73">
        <v>54900</v>
      </c>
      <c r="J73">
        <v>33453</v>
      </c>
      <c r="K73">
        <v>214216</v>
      </c>
      <c r="L73">
        <f t="shared" si="2"/>
        <v>-159316</v>
      </c>
    </row>
    <row r="74" spans="1:12" x14ac:dyDescent="0.3">
      <c r="A74" s="41">
        <v>45931</v>
      </c>
      <c r="B74">
        <v>2025</v>
      </c>
      <c r="C74">
        <v>10</v>
      </c>
      <c r="D74" t="s">
        <v>12</v>
      </c>
      <c r="E74" t="s">
        <v>35</v>
      </c>
      <c r="F74">
        <v>2105</v>
      </c>
      <c r="G74" t="s">
        <v>25</v>
      </c>
      <c r="H74">
        <v>14517</v>
      </c>
      <c r="I74">
        <v>53496</v>
      </c>
      <c r="J74">
        <v>1402</v>
      </c>
      <c r="K74">
        <v>7603</v>
      </c>
      <c r="L74">
        <f t="shared" si="2"/>
        <v>45893</v>
      </c>
    </row>
    <row r="75" spans="1:12" x14ac:dyDescent="0.3">
      <c r="A75" s="41">
        <v>45931</v>
      </c>
      <c r="B75">
        <v>2025</v>
      </c>
      <c r="C75">
        <v>10</v>
      </c>
      <c r="D75" t="s">
        <v>12</v>
      </c>
      <c r="E75" t="s">
        <v>35</v>
      </c>
      <c r="F75">
        <v>3501</v>
      </c>
      <c r="G75" t="s">
        <v>26</v>
      </c>
      <c r="H75">
        <v>4591</v>
      </c>
      <c r="I75">
        <v>29096</v>
      </c>
      <c r="J75">
        <v>80</v>
      </c>
      <c r="K75">
        <v>519</v>
      </c>
      <c r="L75">
        <f t="shared" si="2"/>
        <v>28577</v>
      </c>
    </row>
    <row r="76" spans="1:12" x14ac:dyDescent="0.3">
      <c r="A76" s="41">
        <v>45931</v>
      </c>
      <c r="B76">
        <v>2025</v>
      </c>
      <c r="C76">
        <v>10</v>
      </c>
      <c r="D76" t="s">
        <v>12</v>
      </c>
      <c r="E76" t="s">
        <v>35</v>
      </c>
      <c r="F76">
        <v>102</v>
      </c>
      <c r="G76" t="s">
        <v>43</v>
      </c>
      <c r="H76">
        <v>14941</v>
      </c>
      <c r="I76">
        <v>34617</v>
      </c>
      <c r="J76">
        <v>554</v>
      </c>
      <c r="K76">
        <v>4363</v>
      </c>
      <c r="L76">
        <f t="shared" si="2"/>
        <v>30254</v>
      </c>
    </row>
    <row r="77" spans="1:12" x14ac:dyDescent="0.3">
      <c r="A77" s="41">
        <v>45931</v>
      </c>
      <c r="B77">
        <v>2025</v>
      </c>
      <c r="C77">
        <v>10</v>
      </c>
      <c r="D77" t="s">
        <v>12</v>
      </c>
      <c r="E77" t="s">
        <v>35</v>
      </c>
      <c r="F77">
        <v>201</v>
      </c>
      <c r="G77" t="s">
        <v>44</v>
      </c>
      <c r="H77">
        <v>475</v>
      </c>
      <c r="I77">
        <v>3197</v>
      </c>
      <c r="J77">
        <v>120</v>
      </c>
      <c r="K77">
        <v>2829</v>
      </c>
      <c r="L77">
        <f t="shared" si="2"/>
        <v>368</v>
      </c>
    </row>
    <row r="78" spans="1:12" x14ac:dyDescent="0.3">
      <c r="A78" s="41">
        <v>45931</v>
      </c>
      <c r="B78">
        <v>2025</v>
      </c>
      <c r="C78">
        <v>10</v>
      </c>
      <c r="D78" t="s">
        <v>12</v>
      </c>
      <c r="E78" t="s">
        <v>35</v>
      </c>
      <c r="F78">
        <v>202</v>
      </c>
      <c r="G78" t="s">
        <v>45</v>
      </c>
      <c r="H78">
        <v>15337</v>
      </c>
      <c r="I78">
        <v>64000</v>
      </c>
      <c r="J78">
        <v>1164</v>
      </c>
      <c r="K78">
        <v>9033</v>
      </c>
      <c r="L78">
        <f t="shared" si="2"/>
        <v>54967</v>
      </c>
    </row>
    <row r="79" spans="1:12" x14ac:dyDescent="0.3">
      <c r="A79" s="41">
        <v>45962</v>
      </c>
      <c r="B79">
        <v>2025</v>
      </c>
      <c r="C79">
        <v>11</v>
      </c>
      <c r="D79" t="s">
        <v>13</v>
      </c>
      <c r="E79" t="s">
        <v>36</v>
      </c>
      <c r="F79">
        <v>401</v>
      </c>
      <c r="G79" t="s">
        <v>7</v>
      </c>
      <c r="H79">
        <v>19301</v>
      </c>
      <c r="I79">
        <v>15660</v>
      </c>
      <c r="J79">
        <v>2911</v>
      </c>
      <c r="K79">
        <v>4717</v>
      </c>
      <c r="L79">
        <f t="shared" si="2"/>
        <v>10943</v>
      </c>
    </row>
    <row r="80" spans="1:12" x14ac:dyDescent="0.3">
      <c r="A80" s="41">
        <v>45962</v>
      </c>
      <c r="B80">
        <v>2025</v>
      </c>
      <c r="C80">
        <v>11</v>
      </c>
      <c r="D80" t="s">
        <v>13</v>
      </c>
      <c r="E80" t="s">
        <v>36</v>
      </c>
      <c r="F80">
        <v>402</v>
      </c>
      <c r="G80" t="s">
        <v>8</v>
      </c>
      <c r="H80">
        <v>34334</v>
      </c>
      <c r="I80">
        <v>87484</v>
      </c>
      <c r="J80">
        <v>1764</v>
      </c>
      <c r="K80">
        <v>6678</v>
      </c>
      <c r="L80">
        <f t="shared" si="2"/>
        <v>80806</v>
      </c>
    </row>
    <row r="81" spans="1:12" x14ac:dyDescent="0.3">
      <c r="A81" s="41">
        <v>45962</v>
      </c>
      <c r="B81">
        <v>2025</v>
      </c>
      <c r="C81">
        <v>11</v>
      </c>
      <c r="D81" t="s">
        <v>13</v>
      </c>
      <c r="E81" t="s">
        <v>36</v>
      </c>
      <c r="F81">
        <v>403</v>
      </c>
      <c r="G81" t="s">
        <v>23</v>
      </c>
      <c r="H81">
        <v>5589</v>
      </c>
      <c r="I81">
        <v>8398</v>
      </c>
      <c r="J81">
        <v>8195</v>
      </c>
      <c r="K81">
        <v>17525</v>
      </c>
      <c r="L81">
        <f t="shared" si="2"/>
        <v>-9127</v>
      </c>
    </row>
    <row r="82" spans="1:12" x14ac:dyDescent="0.3">
      <c r="A82" s="41">
        <v>45962</v>
      </c>
      <c r="B82">
        <v>2025</v>
      </c>
      <c r="C82">
        <v>11</v>
      </c>
      <c r="D82" t="s">
        <v>13</v>
      </c>
      <c r="E82" t="s">
        <v>36</v>
      </c>
      <c r="F82">
        <v>404</v>
      </c>
      <c r="G82" t="s">
        <v>9</v>
      </c>
      <c r="H82">
        <v>15108</v>
      </c>
      <c r="I82">
        <v>14851</v>
      </c>
      <c r="J82">
        <v>5071</v>
      </c>
      <c r="K82">
        <v>10508</v>
      </c>
      <c r="L82">
        <f t="shared" si="2"/>
        <v>4343</v>
      </c>
    </row>
    <row r="83" spans="1:12" x14ac:dyDescent="0.3">
      <c r="A83" s="41">
        <v>45962</v>
      </c>
      <c r="B83">
        <v>2025</v>
      </c>
      <c r="C83">
        <v>11</v>
      </c>
      <c r="D83" t="s">
        <v>13</v>
      </c>
      <c r="E83" t="s">
        <v>36</v>
      </c>
      <c r="F83">
        <v>405</v>
      </c>
      <c r="G83" t="s">
        <v>10</v>
      </c>
      <c r="H83">
        <v>14155</v>
      </c>
      <c r="I83">
        <v>101945</v>
      </c>
      <c r="J83">
        <v>1377</v>
      </c>
      <c r="K83">
        <v>12991</v>
      </c>
      <c r="L83">
        <f t="shared" si="2"/>
        <v>88954</v>
      </c>
    </row>
    <row r="84" spans="1:12" x14ac:dyDescent="0.3">
      <c r="A84" s="41">
        <v>45962</v>
      </c>
      <c r="B84">
        <v>2025</v>
      </c>
      <c r="C84">
        <v>11</v>
      </c>
      <c r="D84" t="s">
        <v>13</v>
      </c>
      <c r="E84" t="s">
        <v>36</v>
      </c>
      <c r="F84">
        <v>406</v>
      </c>
      <c r="G84" t="s">
        <v>11</v>
      </c>
      <c r="H84">
        <v>13263</v>
      </c>
      <c r="I84">
        <v>60989</v>
      </c>
      <c r="J84">
        <v>37366</v>
      </c>
      <c r="K84">
        <v>240091</v>
      </c>
      <c r="L84">
        <f t="shared" si="2"/>
        <v>-179102</v>
      </c>
    </row>
    <row r="85" spans="1:12" x14ac:dyDescent="0.3">
      <c r="A85" s="41">
        <v>45962</v>
      </c>
      <c r="B85">
        <v>2025</v>
      </c>
      <c r="C85">
        <v>11</v>
      </c>
      <c r="D85" t="s">
        <v>13</v>
      </c>
      <c r="E85" t="s">
        <v>36</v>
      </c>
      <c r="F85">
        <v>2105</v>
      </c>
      <c r="G85" t="s">
        <v>25</v>
      </c>
      <c r="H85">
        <v>14833</v>
      </c>
      <c r="I85">
        <v>54678</v>
      </c>
      <c r="J85">
        <v>1403</v>
      </c>
      <c r="K85">
        <v>7616</v>
      </c>
      <c r="L85">
        <f t="shared" si="2"/>
        <v>47062</v>
      </c>
    </row>
    <row r="86" spans="1:12" x14ac:dyDescent="0.3">
      <c r="A86" s="41">
        <v>45962</v>
      </c>
      <c r="B86">
        <v>2025</v>
      </c>
      <c r="C86">
        <v>11</v>
      </c>
      <c r="D86" t="s">
        <v>13</v>
      </c>
      <c r="E86" t="s">
        <v>36</v>
      </c>
      <c r="F86">
        <v>3501</v>
      </c>
      <c r="G86" t="s">
        <v>26</v>
      </c>
      <c r="H86">
        <v>4947</v>
      </c>
      <c r="I86">
        <v>31431</v>
      </c>
      <c r="J86">
        <v>80</v>
      </c>
      <c r="K86">
        <v>524</v>
      </c>
      <c r="L86">
        <f t="shared" si="2"/>
        <v>30907</v>
      </c>
    </row>
    <row r="87" spans="1:12" x14ac:dyDescent="0.3">
      <c r="A87" s="41">
        <v>45962</v>
      </c>
      <c r="B87">
        <v>2025</v>
      </c>
      <c r="C87">
        <v>11</v>
      </c>
      <c r="D87" t="s">
        <v>13</v>
      </c>
      <c r="E87" t="s">
        <v>36</v>
      </c>
      <c r="F87">
        <v>102</v>
      </c>
      <c r="G87" t="s">
        <v>43</v>
      </c>
      <c r="H87">
        <v>17337</v>
      </c>
      <c r="I87">
        <v>40086</v>
      </c>
      <c r="J87">
        <v>645</v>
      </c>
      <c r="K87">
        <v>5126</v>
      </c>
      <c r="L87">
        <f t="shared" si="2"/>
        <v>34960</v>
      </c>
    </row>
    <row r="88" spans="1:12" x14ac:dyDescent="0.3">
      <c r="A88" s="41">
        <v>45962</v>
      </c>
      <c r="B88">
        <v>2025</v>
      </c>
      <c r="C88">
        <v>11</v>
      </c>
      <c r="D88" t="s">
        <v>13</v>
      </c>
      <c r="E88" t="s">
        <v>36</v>
      </c>
      <c r="F88">
        <v>201</v>
      </c>
      <c r="G88" t="s">
        <v>44</v>
      </c>
      <c r="H88">
        <v>886</v>
      </c>
      <c r="I88">
        <v>6449</v>
      </c>
      <c r="J88">
        <v>176</v>
      </c>
      <c r="K88">
        <v>3512</v>
      </c>
      <c r="L88">
        <f t="shared" si="2"/>
        <v>2937</v>
      </c>
    </row>
    <row r="89" spans="1:12" x14ac:dyDescent="0.3">
      <c r="A89" s="41">
        <v>45962</v>
      </c>
      <c r="B89">
        <v>2025</v>
      </c>
      <c r="C89">
        <v>11</v>
      </c>
      <c r="D89" t="s">
        <v>13</v>
      </c>
      <c r="E89" t="s">
        <v>36</v>
      </c>
      <c r="F89">
        <v>202</v>
      </c>
      <c r="G89" t="s">
        <v>45</v>
      </c>
      <c r="H89">
        <v>16952</v>
      </c>
      <c r="I89">
        <v>71847</v>
      </c>
      <c r="J89">
        <v>1264</v>
      </c>
      <c r="K89">
        <v>9927</v>
      </c>
      <c r="L89">
        <f t="shared" si="2"/>
        <v>61920</v>
      </c>
    </row>
    <row r="90" spans="1:12" x14ac:dyDescent="0.3">
      <c r="A90" s="41">
        <v>45992</v>
      </c>
      <c r="B90">
        <v>2025</v>
      </c>
      <c r="C90">
        <v>12</v>
      </c>
      <c r="D90" t="s">
        <v>14</v>
      </c>
      <c r="E90" t="s">
        <v>48</v>
      </c>
      <c r="F90">
        <v>102</v>
      </c>
      <c r="G90" t="s">
        <v>43</v>
      </c>
      <c r="H90">
        <v>18826.099999999999</v>
      </c>
      <c r="I90">
        <v>43482.9</v>
      </c>
      <c r="J90">
        <v>658.9</v>
      </c>
      <c r="K90">
        <v>5233.2</v>
      </c>
      <c r="L90">
        <f t="shared" si="2"/>
        <v>38249.700000000004</v>
      </c>
    </row>
    <row r="91" spans="1:12" x14ac:dyDescent="0.3">
      <c r="A91" s="41">
        <v>45992</v>
      </c>
      <c r="B91">
        <v>2025</v>
      </c>
      <c r="C91">
        <v>12</v>
      </c>
      <c r="D91" t="s">
        <v>14</v>
      </c>
      <c r="E91" t="s">
        <v>48</v>
      </c>
      <c r="F91">
        <v>201</v>
      </c>
      <c r="G91" t="s">
        <v>44</v>
      </c>
      <c r="H91">
        <v>1316.8</v>
      </c>
      <c r="I91">
        <v>9871</v>
      </c>
      <c r="J91">
        <v>189.1</v>
      </c>
      <c r="K91">
        <v>3796.3</v>
      </c>
      <c r="L91">
        <f t="shared" si="2"/>
        <v>6074.7</v>
      </c>
    </row>
    <row r="92" spans="1:12" x14ac:dyDescent="0.3">
      <c r="A92" s="41">
        <v>45992</v>
      </c>
      <c r="B92">
        <v>2025</v>
      </c>
      <c r="C92">
        <v>12</v>
      </c>
      <c r="D92" t="s">
        <v>14</v>
      </c>
      <c r="E92" t="s">
        <v>48</v>
      </c>
      <c r="F92">
        <v>202</v>
      </c>
      <c r="G92" t="s">
        <v>45</v>
      </c>
      <c r="H92">
        <v>18412.099999999999</v>
      </c>
      <c r="I92">
        <v>78765.5</v>
      </c>
      <c r="J92">
        <v>1362.3</v>
      </c>
      <c r="K92">
        <v>10720.7</v>
      </c>
      <c r="L92">
        <f t="shared" si="2"/>
        <v>68044.800000000003</v>
      </c>
    </row>
    <row r="93" spans="1:12" x14ac:dyDescent="0.3">
      <c r="A93" s="41">
        <v>45992</v>
      </c>
      <c r="B93">
        <v>2025</v>
      </c>
      <c r="C93">
        <v>12</v>
      </c>
      <c r="D93" t="s">
        <v>14</v>
      </c>
      <c r="E93" t="s">
        <v>48</v>
      </c>
      <c r="F93">
        <v>401</v>
      </c>
      <c r="G93" t="s">
        <v>7</v>
      </c>
      <c r="H93">
        <v>21889.599999999999</v>
      </c>
      <c r="I93">
        <v>17750.8</v>
      </c>
      <c r="J93">
        <v>3251</v>
      </c>
      <c r="K93">
        <v>5465.2</v>
      </c>
      <c r="L93">
        <f t="shared" si="2"/>
        <v>12285.599999999999</v>
      </c>
    </row>
    <row r="94" spans="1:12" x14ac:dyDescent="0.3">
      <c r="A94" s="41">
        <v>45992</v>
      </c>
      <c r="B94">
        <v>2025</v>
      </c>
      <c r="C94">
        <v>12</v>
      </c>
      <c r="D94" t="s">
        <v>14</v>
      </c>
      <c r="E94" t="s">
        <v>48</v>
      </c>
      <c r="F94">
        <v>402</v>
      </c>
      <c r="G94" t="s">
        <v>8</v>
      </c>
      <c r="H94">
        <v>38143.5</v>
      </c>
      <c r="I94">
        <v>96713.9</v>
      </c>
      <c r="J94">
        <v>1873</v>
      </c>
      <c r="K94">
        <v>7003.1</v>
      </c>
      <c r="L94">
        <f t="shared" si="2"/>
        <v>89710.799999999988</v>
      </c>
    </row>
    <row r="95" spans="1:12" x14ac:dyDescent="0.3">
      <c r="A95" s="41">
        <v>45992</v>
      </c>
      <c r="B95">
        <v>2025</v>
      </c>
      <c r="C95">
        <v>12</v>
      </c>
      <c r="D95" t="s">
        <v>14</v>
      </c>
      <c r="E95" t="s">
        <v>48</v>
      </c>
      <c r="F95">
        <v>403</v>
      </c>
      <c r="G95" t="s">
        <v>23</v>
      </c>
      <c r="H95">
        <v>6163.5</v>
      </c>
      <c r="I95">
        <v>9381.7999999999993</v>
      </c>
      <c r="J95">
        <v>8962.4</v>
      </c>
      <c r="K95">
        <v>19375.2</v>
      </c>
      <c r="L95">
        <f t="shared" si="2"/>
        <v>-9993.4000000000015</v>
      </c>
    </row>
    <row r="96" spans="1:12" x14ac:dyDescent="0.3">
      <c r="A96" s="41">
        <v>45992</v>
      </c>
      <c r="B96">
        <v>2025</v>
      </c>
      <c r="C96">
        <v>12</v>
      </c>
      <c r="D96" t="s">
        <v>14</v>
      </c>
      <c r="E96" t="s">
        <v>48</v>
      </c>
      <c r="F96">
        <v>404</v>
      </c>
      <c r="G96" t="s">
        <v>9</v>
      </c>
      <c r="H96">
        <v>16111.3</v>
      </c>
      <c r="I96">
        <v>15961.7</v>
      </c>
      <c r="J96">
        <v>5291</v>
      </c>
      <c r="K96">
        <v>11069</v>
      </c>
      <c r="L96">
        <f t="shared" si="2"/>
        <v>4892.7000000000007</v>
      </c>
    </row>
    <row r="97" spans="1:12" x14ac:dyDescent="0.3">
      <c r="A97" s="41">
        <v>45992</v>
      </c>
      <c r="B97">
        <v>2025</v>
      </c>
      <c r="C97">
        <v>12</v>
      </c>
      <c r="D97" t="s">
        <v>14</v>
      </c>
      <c r="E97" t="s">
        <v>48</v>
      </c>
      <c r="F97">
        <v>405</v>
      </c>
      <c r="G97" t="s">
        <v>10</v>
      </c>
      <c r="H97">
        <v>14991</v>
      </c>
      <c r="I97">
        <v>107359.3</v>
      </c>
      <c r="J97">
        <v>1538.9</v>
      </c>
      <c r="K97">
        <v>14474.4</v>
      </c>
      <c r="L97">
        <f t="shared" si="2"/>
        <v>92884.900000000009</v>
      </c>
    </row>
    <row r="98" spans="1:12" x14ac:dyDescent="0.3">
      <c r="A98" s="41">
        <v>45992</v>
      </c>
      <c r="B98">
        <v>2025</v>
      </c>
      <c r="C98">
        <v>12</v>
      </c>
      <c r="D98" t="s">
        <v>14</v>
      </c>
      <c r="E98" t="s">
        <v>48</v>
      </c>
      <c r="F98">
        <v>406</v>
      </c>
      <c r="G98" t="s">
        <v>11</v>
      </c>
      <c r="H98">
        <v>14504.1</v>
      </c>
      <c r="I98">
        <v>66790.3</v>
      </c>
      <c r="J98">
        <v>42280</v>
      </c>
      <c r="K98">
        <v>272276.5</v>
      </c>
      <c r="L98">
        <f t="shared" si="2"/>
        <v>-205486.2</v>
      </c>
    </row>
    <row r="99" spans="1:12" x14ac:dyDescent="0.3">
      <c r="A99" s="41">
        <v>45992</v>
      </c>
      <c r="B99">
        <v>2025</v>
      </c>
      <c r="C99">
        <v>12</v>
      </c>
      <c r="D99" t="s">
        <v>14</v>
      </c>
      <c r="E99" t="s">
        <v>48</v>
      </c>
      <c r="F99">
        <v>2105</v>
      </c>
      <c r="G99" t="s">
        <v>25</v>
      </c>
      <c r="H99">
        <v>15169</v>
      </c>
      <c r="I99">
        <v>55973.4</v>
      </c>
      <c r="J99">
        <v>1417.3</v>
      </c>
      <c r="K99">
        <v>7750.5</v>
      </c>
      <c r="L99">
        <f t="shared" si="2"/>
        <v>48222.9</v>
      </c>
    </row>
    <row r="100" spans="1:12" x14ac:dyDescent="0.3">
      <c r="A100" s="41">
        <v>45992</v>
      </c>
      <c r="B100">
        <v>2025</v>
      </c>
      <c r="C100">
        <v>12</v>
      </c>
      <c r="D100" t="s">
        <v>14</v>
      </c>
      <c r="E100" t="s">
        <v>48</v>
      </c>
      <c r="F100">
        <v>3501</v>
      </c>
      <c r="G100" t="s">
        <v>26</v>
      </c>
      <c r="H100">
        <v>4947</v>
      </c>
      <c r="I100">
        <v>31431</v>
      </c>
      <c r="J100">
        <v>80</v>
      </c>
      <c r="K100">
        <v>524</v>
      </c>
      <c r="L100">
        <f t="shared" si="2"/>
        <v>30907</v>
      </c>
    </row>
    <row r="101" spans="1:12" x14ac:dyDescent="0.3">
      <c r="A101" s="41">
        <v>44166</v>
      </c>
      <c r="B101">
        <v>2020</v>
      </c>
      <c r="C101">
        <v>12</v>
      </c>
      <c r="D101" t="s">
        <v>14</v>
      </c>
      <c r="E101" t="s">
        <v>49</v>
      </c>
      <c r="F101">
        <v>401</v>
      </c>
      <c r="G101" t="s">
        <v>7</v>
      </c>
      <c r="H101">
        <v>18641.649000000001</v>
      </c>
      <c r="I101">
        <v>12005.2</v>
      </c>
      <c r="J101">
        <v>12968.925800000001</v>
      </c>
      <c r="K101">
        <v>11623.5</v>
      </c>
      <c r="L101">
        <f t="shared" si="2"/>
        <v>381.70000000000073</v>
      </c>
    </row>
    <row r="102" spans="1:12" x14ac:dyDescent="0.3">
      <c r="A102" s="41">
        <v>44166</v>
      </c>
      <c r="B102">
        <v>2020</v>
      </c>
      <c r="C102">
        <v>12</v>
      </c>
      <c r="D102" t="s">
        <v>14</v>
      </c>
      <c r="E102" t="s">
        <v>49</v>
      </c>
      <c r="F102">
        <v>402</v>
      </c>
      <c r="G102" t="s">
        <v>8</v>
      </c>
      <c r="H102">
        <v>27416.825700000001</v>
      </c>
      <c r="I102">
        <v>55529.2</v>
      </c>
      <c r="J102">
        <v>6143.5505999999996</v>
      </c>
      <c r="K102">
        <v>14004.8</v>
      </c>
      <c r="L102">
        <f t="shared" si="2"/>
        <v>41524.399999999994</v>
      </c>
    </row>
    <row r="103" spans="1:12" x14ac:dyDescent="0.3">
      <c r="A103" s="41">
        <v>44166</v>
      </c>
      <c r="B103">
        <v>2020</v>
      </c>
      <c r="C103">
        <v>12</v>
      </c>
      <c r="D103" t="s">
        <v>14</v>
      </c>
      <c r="E103" t="s">
        <v>49</v>
      </c>
      <c r="F103">
        <v>403</v>
      </c>
      <c r="G103" t="s">
        <v>23</v>
      </c>
      <c r="H103">
        <v>5694.3741</v>
      </c>
      <c r="I103">
        <v>8974</v>
      </c>
      <c r="J103">
        <v>9920.5902999999998</v>
      </c>
      <c r="K103">
        <v>14027.8</v>
      </c>
      <c r="L103">
        <f t="shared" si="2"/>
        <v>-5053.7999999999993</v>
      </c>
    </row>
    <row r="104" spans="1:12" x14ac:dyDescent="0.3">
      <c r="A104" s="41">
        <v>44166</v>
      </c>
      <c r="B104">
        <v>2020</v>
      </c>
      <c r="C104">
        <v>12</v>
      </c>
      <c r="D104" t="s">
        <v>14</v>
      </c>
      <c r="E104" t="s">
        <v>49</v>
      </c>
      <c r="F104">
        <v>404</v>
      </c>
      <c r="G104" t="s">
        <v>9</v>
      </c>
      <c r="H104">
        <v>26904.0026</v>
      </c>
      <c r="I104">
        <v>22304.6</v>
      </c>
      <c r="J104">
        <v>5062.4561999999996</v>
      </c>
      <c r="K104">
        <v>6920.1</v>
      </c>
      <c r="L104">
        <f t="shared" si="2"/>
        <v>15384.499999999998</v>
      </c>
    </row>
    <row r="105" spans="1:12" x14ac:dyDescent="0.3">
      <c r="A105" s="41">
        <v>44166</v>
      </c>
      <c r="B105">
        <v>2020</v>
      </c>
      <c r="C105">
        <v>12</v>
      </c>
      <c r="D105" t="s">
        <v>14</v>
      </c>
      <c r="E105" t="s">
        <v>49</v>
      </c>
      <c r="F105">
        <v>405</v>
      </c>
      <c r="G105" t="s">
        <v>10</v>
      </c>
      <c r="H105">
        <v>11229.17</v>
      </c>
      <c r="I105">
        <v>48731.5</v>
      </c>
      <c r="J105">
        <v>10012.4103</v>
      </c>
      <c r="K105">
        <v>40576.9</v>
      </c>
      <c r="L105">
        <f t="shared" si="2"/>
        <v>8154.5999999999985</v>
      </c>
    </row>
    <row r="106" spans="1:12" x14ac:dyDescent="0.3">
      <c r="A106" s="41">
        <v>44166</v>
      </c>
      <c r="B106">
        <v>2020</v>
      </c>
      <c r="C106">
        <v>12</v>
      </c>
      <c r="D106" t="s">
        <v>14</v>
      </c>
      <c r="E106" t="s">
        <v>49</v>
      </c>
      <c r="F106">
        <v>406</v>
      </c>
      <c r="G106" t="s">
        <v>11</v>
      </c>
      <c r="H106">
        <v>6358.1799000000001</v>
      </c>
      <c r="I106">
        <v>24414.7</v>
      </c>
      <c r="J106">
        <v>46767.157599999999</v>
      </c>
      <c r="K106">
        <v>210466.6</v>
      </c>
      <c r="L106">
        <f t="shared" si="2"/>
        <v>-186051.9</v>
      </c>
    </row>
    <row r="107" spans="1:12" x14ac:dyDescent="0.3">
      <c r="A107" s="41">
        <v>44166</v>
      </c>
      <c r="B107">
        <v>2020</v>
      </c>
      <c r="C107">
        <v>12</v>
      </c>
      <c r="D107" t="s">
        <v>14</v>
      </c>
      <c r="E107" t="s">
        <v>49</v>
      </c>
      <c r="F107">
        <v>2105</v>
      </c>
      <c r="G107" t="s">
        <v>25</v>
      </c>
      <c r="H107">
        <v>6742.9709999999995</v>
      </c>
      <c r="I107">
        <v>15904.1</v>
      </c>
      <c r="J107">
        <v>1030.5440000000001</v>
      </c>
      <c r="K107">
        <v>5611.1</v>
      </c>
      <c r="L107">
        <f t="shared" si="2"/>
        <v>10293</v>
      </c>
    </row>
    <row r="108" spans="1:12" x14ac:dyDescent="0.3">
      <c r="A108" s="41">
        <v>44166</v>
      </c>
      <c r="B108">
        <v>2020</v>
      </c>
      <c r="C108">
        <v>12</v>
      </c>
      <c r="D108" t="s">
        <v>14</v>
      </c>
      <c r="E108" t="s">
        <v>49</v>
      </c>
      <c r="F108">
        <v>3501</v>
      </c>
      <c r="G108" t="s">
        <v>26</v>
      </c>
      <c r="H108">
        <v>5732.8</v>
      </c>
      <c r="I108">
        <v>37790.6</v>
      </c>
      <c r="J108">
        <v>139.03649999999999</v>
      </c>
      <c r="K108">
        <v>909.8</v>
      </c>
      <c r="L108">
        <f t="shared" si="2"/>
        <v>36880.799999999996</v>
      </c>
    </row>
    <row r="109" spans="1:12" x14ac:dyDescent="0.3">
      <c r="A109" s="41">
        <v>44531</v>
      </c>
      <c r="B109">
        <v>2021</v>
      </c>
      <c r="C109">
        <v>12</v>
      </c>
      <c r="D109" t="s">
        <v>14</v>
      </c>
      <c r="E109" t="s">
        <v>50</v>
      </c>
      <c r="F109">
        <v>401</v>
      </c>
      <c r="G109" t="s">
        <v>7</v>
      </c>
      <c r="H109">
        <v>14922.047</v>
      </c>
      <c r="I109">
        <v>10372</v>
      </c>
      <c r="J109">
        <v>14368.652099999999</v>
      </c>
      <c r="K109">
        <v>13376.2</v>
      </c>
      <c r="L109">
        <f t="shared" si="2"/>
        <v>-3004.2000000000007</v>
      </c>
    </row>
    <row r="110" spans="1:12" x14ac:dyDescent="0.3">
      <c r="A110" s="41">
        <v>44531</v>
      </c>
      <c r="B110">
        <v>2021</v>
      </c>
      <c r="C110">
        <v>12</v>
      </c>
      <c r="D110" t="s">
        <v>14</v>
      </c>
      <c r="E110" t="s">
        <v>50</v>
      </c>
      <c r="F110">
        <v>402</v>
      </c>
      <c r="G110" t="s">
        <v>8</v>
      </c>
      <c r="H110">
        <v>22426.2291</v>
      </c>
      <c r="I110">
        <v>57366</v>
      </c>
      <c r="J110">
        <v>7798.5879999999997</v>
      </c>
      <c r="K110">
        <v>21204.9</v>
      </c>
      <c r="L110">
        <f t="shared" si="2"/>
        <v>36161.1</v>
      </c>
    </row>
    <row r="111" spans="1:12" x14ac:dyDescent="0.3">
      <c r="A111" s="41">
        <v>44531</v>
      </c>
      <c r="B111">
        <v>2021</v>
      </c>
      <c r="C111">
        <v>12</v>
      </c>
      <c r="D111" t="s">
        <v>14</v>
      </c>
      <c r="E111" t="s">
        <v>50</v>
      </c>
      <c r="F111">
        <v>403</v>
      </c>
      <c r="G111" t="s">
        <v>23</v>
      </c>
      <c r="H111">
        <v>5503.5309999999999</v>
      </c>
      <c r="I111">
        <v>8648.7999999999993</v>
      </c>
      <c r="J111">
        <v>14004.9979</v>
      </c>
      <c r="K111">
        <v>20008.400000000001</v>
      </c>
      <c r="L111">
        <f t="shared" si="2"/>
        <v>-11359.600000000002</v>
      </c>
    </row>
    <row r="112" spans="1:12" x14ac:dyDescent="0.3">
      <c r="A112" s="41">
        <v>44531</v>
      </c>
      <c r="B112">
        <v>2021</v>
      </c>
      <c r="C112">
        <v>12</v>
      </c>
      <c r="D112" t="s">
        <v>14</v>
      </c>
      <c r="E112" t="s">
        <v>50</v>
      </c>
      <c r="F112">
        <v>404</v>
      </c>
      <c r="G112" t="s">
        <v>9</v>
      </c>
      <c r="H112">
        <v>22217.551200000002</v>
      </c>
      <c r="I112">
        <v>22821.599999999999</v>
      </c>
      <c r="J112">
        <v>9627.8616000000002</v>
      </c>
      <c r="K112">
        <v>12334.9</v>
      </c>
      <c r="L112">
        <f t="shared" si="2"/>
        <v>10486.699999999999</v>
      </c>
    </row>
    <row r="113" spans="1:12" x14ac:dyDescent="0.3">
      <c r="A113" s="41">
        <v>44531</v>
      </c>
      <c r="B113">
        <v>2021</v>
      </c>
      <c r="C113">
        <v>12</v>
      </c>
      <c r="D113" t="s">
        <v>14</v>
      </c>
      <c r="E113" t="s">
        <v>50</v>
      </c>
      <c r="F113">
        <v>405</v>
      </c>
      <c r="G113" t="s">
        <v>10</v>
      </c>
      <c r="H113">
        <v>10857.829400000001</v>
      </c>
      <c r="I113">
        <v>52308.1</v>
      </c>
      <c r="J113">
        <v>9148.0851000000002</v>
      </c>
      <c r="K113">
        <v>45529.3</v>
      </c>
      <c r="L113">
        <f t="shared" si="2"/>
        <v>6778.7999999999956</v>
      </c>
    </row>
    <row r="114" spans="1:12" x14ac:dyDescent="0.3">
      <c r="A114" s="41">
        <v>44531</v>
      </c>
      <c r="B114">
        <v>2021</v>
      </c>
      <c r="C114">
        <v>12</v>
      </c>
      <c r="D114" t="s">
        <v>14</v>
      </c>
      <c r="E114" t="s">
        <v>50</v>
      </c>
      <c r="F114">
        <v>406</v>
      </c>
      <c r="G114" t="s">
        <v>11</v>
      </c>
      <c r="H114">
        <v>6923.5050000000001</v>
      </c>
      <c r="I114">
        <v>26691.599999999999</v>
      </c>
      <c r="J114">
        <v>55192.9594</v>
      </c>
      <c r="K114">
        <v>260336.3</v>
      </c>
      <c r="L114">
        <f t="shared" si="2"/>
        <v>-233644.69999999998</v>
      </c>
    </row>
    <row r="115" spans="1:12" x14ac:dyDescent="0.3">
      <c r="A115" s="41">
        <v>44531</v>
      </c>
      <c r="B115">
        <v>2021</v>
      </c>
      <c r="C115">
        <v>12</v>
      </c>
      <c r="D115" t="s">
        <v>14</v>
      </c>
      <c r="E115" t="s">
        <v>50</v>
      </c>
      <c r="F115">
        <v>2105</v>
      </c>
      <c r="G115" t="s">
        <v>25</v>
      </c>
      <c r="H115">
        <v>7438.7057000000004</v>
      </c>
      <c r="I115">
        <v>18621.7</v>
      </c>
      <c r="J115">
        <v>1780.6179</v>
      </c>
      <c r="K115">
        <v>9033.6</v>
      </c>
      <c r="L115">
        <f t="shared" si="2"/>
        <v>9588.1</v>
      </c>
    </row>
    <row r="116" spans="1:12" x14ac:dyDescent="0.3">
      <c r="A116" s="41">
        <v>44531</v>
      </c>
      <c r="B116">
        <v>2021</v>
      </c>
      <c r="C116">
        <v>12</v>
      </c>
      <c r="D116" t="s">
        <v>14</v>
      </c>
      <c r="E116" t="s">
        <v>50</v>
      </c>
      <c r="F116">
        <v>3501</v>
      </c>
      <c r="G116" t="s">
        <v>26</v>
      </c>
      <c r="H116">
        <v>5449.4620000000004</v>
      </c>
      <c r="I116">
        <v>49754.6</v>
      </c>
      <c r="J116">
        <v>57.103700000000003</v>
      </c>
      <c r="K116">
        <v>302.7</v>
      </c>
      <c r="L116">
        <f t="shared" si="2"/>
        <v>49451.9</v>
      </c>
    </row>
    <row r="117" spans="1:12" x14ac:dyDescent="0.3">
      <c r="A117" s="41">
        <v>44896</v>
      </c>
      <c r="B117">
        <v>2022</v>
      </c>
      <c r="C117">
        <v>12</v>
      </c>
      <c r="D117" t="s">
        <v>14</v>
      </c>
      <c r="E117" t="s">
        <v>51</v>
      </c>
      <c r="F117">
        <v>401</v>
      </c>
      <c r="G117" t="s">
        <v>7</v>
      </c>
      <c r="H117">
        <v>29349.596799999999</v>
      </c>
      <c r="I117">
        <v>16377.4</v>
      </c>
      <c r="J117">
        <v>9385.7332999999999</v>
      </c>
      <c r="K117">
        <v>8585</v>
      </c>
      <c r="L117">
        <f t="shared" si="2"/>
        <v>7792.4</v>
      </c>
    </row>
    <row r="118" spans="1:12" x14ac:dyDescent="0.3">
      <c r="A118" s="41">
        <v>44896</v>
      </c>
      <c r="B118">
        <v>2022</v>
      </c>
      <c r="C118">
        <v>12</v>
      </c>
      <c r="D118" t="s">
        <v>14</v>
      </c>
      <c r="E118" t="s">
        <v>51</v>
      </c>
      <c r="F118">
        <v>402</v>
      </c>
      <c r="G118" t="s">
        <v>8</v>
      </c>
      <c r="H118">
        <v>26611.3426</v>
      </c>
      <c r="I118">
        <v>89608.2</v>
      </c>
      <c r="J118">
        <v>1213.5654999999999</v>
      </c>
      <c r="K118">
        <v>4026.1</v>
      </c>
      <c r="L118">
        <f t="shared" si="2"/>
        <v>85582.099999999991</v>
      </c>
    </row>
    <row r="119" spans="1:12" x14ac:dyDescent="0.3">
      <c r="A119" s="41">
        <v>44896</v>
      </c>
      <c r="B119">
        <v>2022</v>
      </c>
      <c r="C119">
        <v>12</v>
      </c>
      <c r="D119" t="s">
        <v>14</v>
      </c>
      <c r="E119" t="s">
        <v>51</v>
      </c>
      <c r="F119">
        <v>403</v>
      </c>
      <c r="G119" t="s">
        <v>23</v>
      </c>
      <c r="H119">
        <v>3054.7737999999999</v>
      </c>
      <c r="I119">
        <v>4663.7</v>
      </c>
      <c r="J119">
        <v>9455.6355999999996</v>
      </c>
      <c r="K119">
        <v>14919.6</v>
      </c>
      <c r="L119">
        <f t="shared" si="2"/>
        <v>-10255.900000000001</v>
      </c>
    </row>
    <row r="120" spans="1:12" x14ac:dyDescent="0.3">
      <c r="A120" s="41">
        <v>44896</v>
      </c>
      <c r="B120">
        <v>2022</v>
      </c>
      <c r="C120">
        <v>12</v>
      </c>
      <c r="D120" t="s">
        <v>14</v>
      </c>
      <c r="E120" t="s">
        <v>51</v>
      </c>
      <c r="F120">
        <v>404</v>
      </c>
      <c r="G120" t="s">
        <v>9</v>
      </c>
      <c r="H120">
        <v>15244.1657</v>
      </c>
      <c r="I120">
        <v>15727.3</v>
      </c>
      <c r="J120">
        <v>4917.1111000000001</v>
      </c>
      <c r="K120">
        <v>6901.1</v>
      </c>
      <c r="L120">
        <f t="shared" si="2"/>
        <v>8826.1999999999989</v>
      </c>
    </row>
    <row r="121" spans="1:12" x14ac:dyDescent="0.3">
      <c r="A121" s="41">
        <v>44896</v>
      </c>
      <c r="B121">
        <v>2022</v>
      </c>
      <c r="C121">
        <v>12</v>
      </c>
      <c r="D121" t="s">
        <v>14</v>
      </c>
      <c r="E121" t="s">
        <v>51</v>
      </c>
      <c r="F121">
        <v>405</v>
      </c>
      <c r="G121" t="s">
        <v>10</v>
      </c>
      <c r="H121">
        <v>14083.795899999999</v>
      </c>
      <c r="I121">
        <v>81548.2</v>
      </c>
      <c r="J121">
        <v>1128.0320999999999</v>
      </c>
      <c r="K121">
        <v>7909.7</v>
      </c>
      <c r="L121">
        <f t="shared" si="2"/>
        <v>73638.5</v>
      </c>
    </row>
    <row r="122" spans="1:12" x14ac:dyDescent="0.3">
      <c r="A122" s="41">
        <v>44896</v>
      </c>
      <c r="B122">
        <v>2022</v>
      </c>
      <c r="C122">
        <v>12</v>
      </c>
      <c r="D122" t="s">
        <v>14</v>
      </c>
      <c r="E122" t="s">
        <v>51</v>
      </c>
      <c r="F122">
        <v>406</v>
      </c>
      <c r="G122" t="s">
        <v>11</v>
      </c>
      <c r="H122">
        <v>8988.5537000000004</v>
      </c>
      <c r="I122">
        <v>42224.6</v>
      </c>
      <c r="J122">
        <v>33817.611900000004</v>
      </c>
      <c r="K122">
        <v>182000.5</v>
      </c>
      <c r="L122">
        <f t="shared" si="2"/>
        <v>-139775.9</v>
      </c>
    </row>
    <row r="123" spans="1:12" x14ac:dyDescent="0.3">
      <c r="A123" s="41">
        <v>44896</v>
      </c>
      <c r="B123">
        <v>2022</v>
      </c>
      <c r="C123">
        <v>12</v>
      </c>
      <c r="D123" t="s">
        <v>14</v>
      </c>
      <c r="E123" t="s">
        <v>51</v>
      </c>
      <c r="F123">
        <v>2105</v>
      </c>
      <c r="G123" t="s">
        <v>25</v>
      </c>
      <c r="H123">
        <v>6880.2466000000004</v>
      </c>
      <c r="I123">
        <v>19427.400000000001</v>
      </c>
      <c r="J123">
        <v>899.20219999999995</v>
      </c>
      <c r="K123">
        <v>3546.1</v>
      </c>
      <c r="L123">
        <f t="shared" si="2"/>
        <v>15881.300000000001</v>
      </c>
    </row>
    <row r="124" spans="1:12" x14ac:dyDescent="0.3">
      <c r="A124" s="41">
        <v>44896</v>
      </c>
      <c r="B124">
        <v>2022</v>
      </c>
      <c r="C124">
        <v>12</v>
      </c>
      <c r="D124" t="s">
        <v>14</v>
      </c>
      <c r="E124" t="s">
        <v>51</v>
      </c>
      <c r="F124">
        <v>3501</v>
      </c>
      <c r="G124" t="s">
        <v>26</v>
      </c>
      <c r="H124">
        <v>7904.26</v>
      </c>
      <c r="I124">
        <v>79798.5</v>
      </c>
      <c r="J124">
        <v>68.468599999999995</v>
      </c>
      <c r="K124">
        <v>590.20000000000005</v>
      </c>
      <c r="L124">
        <f t="shared" si="2"/>
        <v>79208.3</v>
      </c>
    </row>
    <row r="125" spans="1:12" x14ac:dyDescent="0.3">
      <c r="A125" s="41">
        <v>45261</v>
      </c>
      <c r="B125">
        <v>2023</v>
      </c>
      <c r="C125">
        <v>12</v>
      </c>
      <c r="D125" t="s">
        <v>14</v>
      </c>
      <c r="E125" t="s">
        <v>52</v>
      </c>
      <c r="F125">
        <v>401</v>
      </c>
      <c r="G125" t="s">
        <v>7</v>
      </c>
      <c r="H125">
        <v>28315.360000000001</v>
      </c>
      <c r="I125">
        <v>16571.7</v>
      </c>
      <c r="J125">
        <v>5125.7672000000002</v>
      </c>
      <c r="K125">
        <v>6068.9</v>
      </c>
      <c r="L125">
        <f t="shared" si="2"/>
        <v>10502.800000000001</v>
      </c>
    </row>
    <row r="126" spans="1:12" x14ac:dyDescent="0.3">
      <c r="A126" s="41">
        <v>45261</v>
      </c>
      <c r="B126">
        <v>2023</v>
      </c>
      <c r="C126">
        <v>12</v>
      </c>
      <c r="D126" t="s">
        <v>14</v>
      </c>
      <c r="E126" t="s">
        <v>52</v>
      </c>
      <c r="F126">
        <v>402</v>
      </c>
      <c r="G126" t="s">
        <v>8</v>
      </c>
      <c r="H126">
        <v>27675.501199999999</v>
      </c>
      <c r="I126">
        <v>68669.7</v>
      </c>
      <c r="J126">
        <v>1262.9839999999999</v>
      </c>
      <c r="K126">
        <v>4737.5</v>
      </c>
      <c r="L126">
        <f t="shared" si="2"/>
        <v>63932.2</v>
      </c>
    </row>
    <row r="127" spans="1:12" x14ac:dyDescent="0.3">
      <c r="A127" s="41">
        <v>45261</v>
      </c>
      <c r="B127">
        <v>2023</v>
      </c>
      <c r="C127">
        <v>12</v>
      </c>
      <c r="D127" t="s">
        <v>14</v>
      </c>
      <c r="E127" t="s">
        <v>52</v>
      </c>
      <c r="F127">
        <v>403</v>
      </c>
      <c r="G127" t="s">
        <v>23</v>
      </c>
      <c r="H127">
        <v>3352.7871</v>
      </c>
      <c r="I127">
        <v>4172.1000000000004</v>
      </c>
      <c r="J127">
        <v>8669.5256000000008</v>
      </c>
      <c r="K127">
        <v>17376.099999999999</v>
      </c>
      <c r="L127">
        <f t="shared" si="2"/>
        <v>-13203.999999999998</v>
      </c>
    </row>
    <row r="128" spans="1:12" x14ac:dyDescent="0.3">
      <c r="A128" s="41">
        <v>45261</v>
      </c>
      <c r="B128">
        <v>2023</v>
      </c>
      <c r="C128">
        <v>12</v>
      </c>
      <c r="D128" t="s">
        <v>14</v>
      </c>
      <c r="E128" t="s">
        <v>52</v>
      </c>
      <c r="F128">
        <v>404</v>
      </c>
      <c r="G128" t="s">
        <v>9</v>
      </c>
      <c r="H128">
        <v>16180.6185</v>
      </c>
      <c r="I128">
        <v>10854.3</v>
      </c>
      <c r="J128">
        <v>6887.4102000000003</v>
      </c>
      <c r="K128">
        <v>12474.9</v>
      </c>
      <c r="L128">
        <f t="shared" si="2"/>
        <v>-1620.6000000000004</v>
      </c>
    </row>
    <row r="129" spans="1:12" x14ac:dyDescent="0.3">
      <c r="A129" s="41">
        <v>45261</v>
      </c>
      <c r="B129">
        <v>2023</v>
      </c>
      <c r="C129">
        <v>12</v>
      </c>
      <c r="D129" t="s">
        <v>14</v>
      </c>
      <c r="E129" t="s">
        <v>52</v>
      </c>
      <c r="F129">
        <v>405</v>
      </c>
      <c r="G129" t="s">
        <v>10</v>
      </c>
      <c r="H129">
        <v>7789.9093999999996</v>
      </c>
      <c r="I129">
        <v>41771.1</v>
      </c>
      <c r="J129">
        <v>2656.6736000000001</v>
      </c>
      <c r="K129">
        <v>16632.7</v>
      </c>
      <c r="L129">
        <f t="shared" si="2"/>
        <v>25138.399999999998</v>
      </c>
    </row>
    <row r="130" spans="1:12" x14ac:dyDescent="0.3">
      <c r="A130" s="41">
        <v>45261</v>
      </c>
      <c r="B130">
        <v>2023</v>
      </c>
      <c r="C130">
        <v>12</v>
      </c>
      <c r="D130" t="s">
        <v>14</v>
      </c>
      <c r="E130" t="s">
        <v>52</v>
      </c>
      <c r="F130">
        <v>406</v>
      </c>
      <c r="G130" t="s">
        <v>11</v>
      </c>
      <c r="H130">
        <v>8879.3418999999994</v>
      </c>
      <c r="I130">
        <v>39962.6</v>
      </c>
      <c r="J130">
        <v>33684.813399999999</v>
      </c>
      <c r="K130">
        <v>200827.4</v>
      </c>
      <c r="L130">
        <f t="shared" si="2"/>
        <v>-160864.79999999999</v>
      </c>
    </row>
    <row r="131" spans="1:12" x14ac:dyDescent="0.3">
      <c r="A131" s="41">
        <v>45261</v>
      </c>
      <c r="B131">
        <v>2023</v>
      </c>
      <c r="C131">
        <v>12</v>
      </c>
      <c r="D131" t="s">
        <v>14</v>
      </c>
      <c r="E131" t="s">
        <v>52</v>
      </c>
      <c r="F131">
        <v>2105</v>
      </c>
      <c r="G131" t="s">
        <v>25</v>
      </c>
      <c r="H131">
        <v>9927.4393</v>
      </c>
      <c r="I131">
        <v>32523.9</v>
      </c>
      <c r="J131">
        <v>1222.3304000000001</v>
      </c>
      <c r="K131">
        <v>5756.2</v>
      </c>
      <c r="L131">
        <f t="shared" ref="L131:L166" si="3">I131-K131</f>
        <v>26767.7</v>
      </c>
    </row>
    <row r="132" spans="1:12" x14ac:dyDescent="0.3">
      <c r="A132" s="41">
        <v>45261</v>
      </c>
      <c r="B132">
        <v>2023</v>
      </c>
      <c r="C132">
        <v>12</v>
      </c>
      <c r="D132" t="s">
        <v>14</v>
      </c>
      <c r="E132" t="s">
        <v>52</v>
      </c>
      <c r="F132">
        <v>3501</v>
      </c>
      <c r="G132" t="s">
        <v>26</v>
      </c>
      <c r="H132">
        <v>6270.35</v>
      </c>
      <c r="I132">
        <v>40630.1</v>
      </c>
      <c r="J132">
        <v>45.311999999999998</v>
      </c>
      <c r="K132">
        <v>291.39999999999998</v>
      </c>
      <c r="L132">
        <f t="shared" si="3"/>
        <v>40338.699999999997</v>
      </c>
    </row>
    <row r="133" spans="1:12" x14ac:dyDescent="0.3">
      <c r="A133" s="41">
        <v>44166</v>
      </c>
      <c r="B133">
        <v>2020</v>
      </c>
      <c r="C133">
        <v>12</v>
      </c>
      <c r="D133" t="s">
        <v>14</v>
      </c>
      <c r="E133" t="s">
        <v>49</v>
      </c>
      <c r="F133">
        <v>201</v>
      </c>
      <c r="G133" t="s">
        <v>44</v>
      </c>
      <c r="H133">
        <v>2009.5516</v>
      </c>
      <c r="I133">
        <v>5728.8</v>
      </c>
      <c r="J133">
        <v>733.60630000000003</v>
      </c>
      <c r="K133">
        <v>4460.3999999999996</v>
      </c>
      <c r="L133">
        <f t="shared" si="3"/>
        <v>1268.4000000000005</v>
      </c>
    </row>
    <row r="134" spans="1:12" x14ac:dyDescent="0.3">
      <c r="A134" s="41">
        <v>44166</v>
      </c>
      <c r="B134">
        <v>2020</v>
      </c>
      <c r="C134">
        <v>12</v>
      </c>
      <c r="D134" t="s">
        <v>14</v>
      </c>
      <c r="E134" t="s">
        <v>49</v>
      </c>
      <c r="F134">
        <v>202</v>
      </c>
      <c r="G134" t="s">
        <v>45</v>
      </c>
      <c r="H134">
        <v>22413.488499999999</v>
      </c>
      <c r="I134">
        <v>78516.7</v>
      </c>
      <c r="J134">
        <v>1340.7036000000001</v>
      </c>
      <c r="K134">
        <v>4616.3999999999996</v>
      </c>
      <c r="L134">
        <f t="shared" si="3"/>
        <v>73900.3</v>
      </c>
    </row>
    <row r="135" spans="1:12" x14ac:dyDescent="0.3">
      <c r="A135" s="41">
        <v>44531</v>
      </c>
      <c r="B135">
        <v>2021</v>
      </c>
      <c r="C135">
        <v>12</v>
      </c>
      <c r="D135" t="s">
        <v>14</v>
      </c>
      <c r="E135" t="s">
        <v>50</v>
      </c>
      <c r="F135">
        <v>201</v>
      </c>
      <c r="G135" t="s">
        <v>44</v>
      </c>
      <c r="H135">
        <v>225.31720000000001</v>
      </c>
      <c r="I135">
        <v>795.3</v>
      </c>
      <c r="J135">
        <v>847.32979999999998</v>
      </c>
      <c r="K135">
        <v>7414.8</v>
      </c>
      <c r="L135">
        <f t="shared" si="3"/>
        <v>-6619.5</v>
      </c>
    </row>
    <row r="136" spans="1:12" x14ac:dyDescent="0.3">
      <c r="A136" s="41">
        <v>44531</v>
      </c>
      <c r="B136">
        <v>2021</v>
      </c>
      <c r="C136">
        <v>12</v>
      </c>
      <c r="D136" t="s">
        <v>14</v>
      </c>
      <c r="E136" t="s">
        <v>50</v>
      </c>
      <c r="F136">
        <v>202</v>
      </c>
      <c r="G136" t="s">
        <v>45</v>
      </c>
      <c r="H136">
        <v>26984.887699999999</v>
      </c>
      <c r="I136">
        <v>114749.4</v>
      </c>
      <c r="J136">
        <v>1940.3325</v>
      </c>
      <c r="K136">
        <v>7505.7</v>
      </c>
      <c r="L136">
        <f t="shared" si="3"/>
        <v>107243.7</v>
      </c>
    </row>
    <row r="137" spans="1:12" x14ac:dyDescent="0.3">
      <c r="A137" s="41">
        <v>44896</v>
      </c>
      <c r="B137">
        <v>2022</v>
      </c>
      <c r="C137">
        <v>12</v>
      </c>
      <c r="D137" t="s">
        <v>14</v>
      </c>
      <c r="E137" t="s">
        <v>51</v>
      </c>
      <c r="F137">
        <v>201</v>
      </c>
      <c r="G137" t="s">
        <v>44</v>
      </c>
      <c r="H137">
        <v>33.569000000000003</v>
      </c>
      <c r="I137">
        <v>192</v>
      </c>
      <c r="J137">
        <v>269.36689999999999</v>
      </c>
      <c r="K137">
        <v>2797.4</v>
      </c>
      <c r="L137">
        <f t="shared" si="3"/>
        <v>-2605.4</v>
      </c>
    </row>
    <row r="138" spans="1:12" x14ac:dyDescent="0.3">
      <c r="A138" s="41">
        <v>44896</v>
      </c>
      <c r="B138">
        <v>2022</v>
      </c>
      <c r="C138">
        <v>12</v>
      </c>
      <c r="D138" t="s">
        <v>14</v>
      </c>
      <c r="E138" t="s">
        <v>51</v>
      </c>
      <c r="F138">
        <v>202</v>
      </c>
      <c r="G138" t="s">
        <v>45</v>
      </c>
      <c r="H138">
        <v>15394.990400000001</v>
      </c>
      <c r="I138">
        <v>68683.3</v>
      </c>
      <c r="J138">
        <v>793.91</v>
      </c>
      <c r="K138">
        <v>3922.4</v>
      </c>
      <c r="L138">
        <f t="shared" si="3"/>
        <v>64760.9</v>
      </c>
    </row>
    <row r="139" spans="1:12" x14ac:dyDescent="0.3">
      <c r="A139" s="41">
        <v>45261</v>
      </c>
      <c r="B139">
        <v>2023</v>
      </c>
      <c r="C139">
        <v>12</v>
      </c>
      <c r="D139" t="s">
        <v>14</v>
      </c>
      <c r="E139" t="s">
        <v>52</v>
      </c>
      <c r="F139">
        <v>201</v>
      </c>
      <c r="G139" t="s">
        <v>44</v>
      </c>
      <c r="H139">
        <v>259.67970000000003</v>
      </c>
      <c r="I139">
        <v>952.7</v>
      </c>
      <c r="J139">
        <v>133.3664</v>
      </c>
      <c r="K139">
        <v>2142.1</v>
      </c>
      <c r="L139">
        <f t="shared" si="3"/>
        <v>-1189.3999999999999</v>
      </c>
    </row>
    <row r="140" spans="1:12" x14ac:dyDescent="0.3">
      <c r="A140" s="41">
        <v>45261</v>
      </c>
      <c r="B140">
        <v>2023</v>
      </c>
      <c r="C140">
        <v>12</v>
      </c>
      <c r="D140" t="s">
        <v>14</v>
      </c>
      <c r="E140" t="s">
        <v>52</v>
      </c>
      <c r="F140">
        <v>202</v>
      </c>
      <c r="G140" t="s">
        <v>45</v>
      </c>
      <c r="H140">
        <v>21081.449700000001</v>
      </c>
      <c r="I140">
        <v>85469</v>
      </c>
      <c r="J140">
        <v>2120.1215999999999</v>
      </c>
      <c r="K140">
        <v>11419.5</v>
      </c>
      <c r="L140">
        <f t="shared" si="3"/>
        <v>74049.5</v>
      </c>
    </row>
    <row r="141" spans="1:12" x14ac:dyDescent="0.3">
      <c r="A141" s="41">
        <v>44166</v>
      </c>
      <c r="B141">
        <v>2020</v>
      </c>
      <c r="C141">
        <v>12</v>
      </c>
      <c r="D141" t="s">
        <v>14</v>
      </c>
      <c r="E141" t="s">
        <v>49</v>
      </c>
      <c r="F141">
        <v>102</v>
      </c>
      <c r="G141" t="s">
        <v>43</v>
      </c>
      <c r="H141">
        <v>21009</v>
      </c>
      <c r="I141">
        <v>41033</v>
      </c>
      <c r="J141">
        <v>1696</v>
      </c>
      <c r="K141">
        <v>7866</v>
      </c>
      <c r="L141">
        <f t="shared" si="3"/>
        <v>33167</v>
      </c>
    </row>
    <row r="142" spans="1:12" x14ac:dyDescent="0.3">
      <c r="A142" s="41">
        <v>44531</v>
      </c>
      <c r="B142">
        <v>2021</v>
      </c>
      <c r="C142">
        <v>12</v>
      </c>
      <c r="D142" t="s">
        <v>14</v>
      </c>
      <c r="E142" t="s">
        <v>50</v>
      </c>
      <c r="F142">
        <v>102</v>
      </c>
      <c r="G142" t="s">
        <v>43</v>
      </c>
      <c r="H142">
        <v>13627</v>
      </c>
      <c r="I142">
        <v>29971</v>
      </c>
      <c r="J142">
        <v>2519</v>
      </c>
      <c r="K142">
        <v>11642</v>
      </c>
      <c r="L142">
        <f t="shared" si="3"/>
        <v>18329</v>
      </c>
    </row>
    <row r="143" spans="1:12" x14ac:dyDescent="0.3">
      <c r="A143" s="41">
        <v>44896</v>
      </c>
      <c r="B143">
        <v>2022</v>
      </c>
      <c r="C143">
        <v>12</v>
      </c>
      <c r="D143" t="s">
        <v>14</v>
      </c>
      <c r="E143" t="s">
        <v>51</v>
      </c>
      <c r="F143">
        <v>102</v>
      </c>
      <c r="G143" t="s">
        <v>43</v>
      </c>
      <c r="H143">
        <v>19324</v>
      </c>
      <c r="I143">
        <v>35258</v>
      </c>
      <c r="J143">
        <v>795</v>
      </c>
      <c r="K143">
        <v>3445</v>
      </c>
      <c r="L143">
        <f t="shared" si="3"/>
        <v>31813</v>
      </c>
    </row>
    <row r="144" spans="1:12" x14ac:dyDescent="0.3">
      <c r="A144" s="41">
        <v>45261</v>
      </c>
      <c r="B144">
        <v>2023</v>
      </c>
      <c r="C144">
        <v>12</v>
      </c>
      <c r="D144" t="s">
        <v>14</v>
      </c>
      <c r="E144" t="s">
        <v>52</v>
      </c>
      <c r="F144">
        <v>102</v>
      </c>
      <c r="G144" t="s">
        <v>43</v>
      </c>
      <c r="H144">
        <v>17568</v>
      </c>
      <c r="I144">
        <v>27515</v>
      </c>
      <c r="J144">
        <v>646</v>
      </c>
      <c r="K144">
        <v>3567</v>
      </c>
      <c r="L144">
        <f t="shared" si="3"/>
        <v>23948</v>
      </c>
    </row>
    <row r="145" spans="1:12" x14ac:dyDescent="0.3">
      <c r="A145" s="41">
        <v>46023</v>
      </c>
      <c r="B145">
        <v>2026</v>
      </c>
      <c r="C145">
        <v>1</v>
      </c>
      <c r="D145" t="s">
        <v>75</v>
      </c>
      <c r="E145" t="s">
        <v>76</v>
      </c>
      <c r="F145">
        <v>102</v>
      </c>
      <c r="G145" t="s">
        <v>43</v>
      </c>
      <c r="H145">
        <v>958</v>
      </c>
      <c r="I145">
        <v>1821</v>
      </c>
      <c r="J145">
        <v>0</v>
      </c>
      <c r="K145">
        <v>0</v>
      </c>
      <c r="L145">
        <f t="shared" si="3"/>
        <v>1821</v>
      </c>
    </row>
    <row r="146" spans="1:12" x14ac:dyDescent="0.3">
      <c r="A146" s="41">
        <v>46023</v>
      </c>
      <c r="B146">
        <v>2026</v>
      </c>
      <c r="C146">
        <v>1</v>
      </c>
      <c r="D146" t="s">
        <v>75</v>
      </c>
      <c r="E146" t="s">
        <v>76</v>
      </c>
      <c r="F146">
        <v>201</v>
      </c>
      <c r="G146" t="s">
        <v>44</v>
      </c>
      <c r="H146">
        <v>292</v>
      </c>
      <c r="I146">
        <v>2228</v>
      </c>
      <c r="J146">
        <v>6</v>
      </c>
      <c r="K146">
        <v>155</v>
      </c>
      <c r="L146">
        <f t="shared" si="3"/>
        <v>2073</v>
      </c>
    </row>
    <row r="147" spans="1:12" x14ac:dyDescent="0.3">
      <c r="A147" s="41">
        <v>46023</v>
      </c>
      <c r="B147">
        <v>2026</v>
      </c>
      <c r="C147">
        <v>1</v>
      </c>
      <c r="D147" t="s">
        <v>75</v>
      </c>
      <c r="E147" t="s">
        <v>76</v>
      </c>
      <c r="F147">
        <v>202</v>
      </c>
      <c r="G147" t="s">
        <v>45</v>
      </c>
      <c r="H147">
        <v>966</v>
      </c>
      <c r="I147">
        <v>4622</v>
      </c>
      <c r="J147">
        <v>81</v>
      </c>
      <c r="K147">
        <v>690</v>
      </c>
      <c r="L147">
        <f t="shared" si="3"/>
        <v>3932</v>
      </c>
    </row>
    <row r="148" spans="1:12" x14ac:dyDescent="0.3">
      <c r="A148" s="41">
        <v>46023</v>
      </c>
      <c r="B148">
        <v>2026</v>
      </c>
      <c r="C148">
        <v>1</v>
      </c>
      <c r="D148" t="s">
        <v>75</v>
      </c>
      <c r="E148" t="s">
        <v>76</v>
      </c>
      <c r="F148">
        <v>401</v>
      </c>
      <c r="G148" t="s">
        <v>7</v>
      </c>
      <c r="H148">
        <v>1778</v>
      </c>
      <c r="I148">
        <v>1541</v>
      </c>
      <c r="J148">
        <v>282</v>
      </c>
      <c r="K148">
        <v>364</v>
      </c>
      <c r="L148">
        <f t="shared" si="3"/>
        <v>1177</v>
      </c>
    </row>
    <row r="149" spans="1:12" x14ac:dyDescent="0.3">
      <c r="A149" s="41">
        <v>46023</v>
      </c>
      <c r="B149">
        <v>2026</v>
      </c>
      <c r="C149">
        <v>1</v>
      </c>
      <c r="D149" t="s">
        <v>75</v>
      </c>
      <c r="E149" t="s">
        <v>76</v>
      </c>
      <c r="F149">
        <v>402</v>
      </c>
      <c r="G149" t="s">
        <v>8</v>
      </c>
      <c r="H149">
        <v>2368</v>
      </c>
      <c r="I149">
        <v>5759</v>
      </c>
      <c r="J149">
        <v>77</v>
      </c>
      <c r="K149">
        <v>285</v>
      </c>
      <c r="L149">
        <f t="shared" si="3"/>
        <v>5474</v>
      </c>
    </row>
    <row r="150" spans="1:12" x14ac:dyDescent="0.3">
      <c r="A150" s="41">
        <v>46023</v>
      </c>
      <c r="B150">
        <v>2026</v>
      </c>
      <c r="C150">
        <v>1</v>
      </c>
      <c r="D150" t="s">
        <v>75</v>
      </c>
      <c r="E150" t="s">
        <v>76</v>
      </c>
      <c r="F150">
        <v>403</v>
      </c>
      <c r="G150" t="s">
        <v>23</v>
      </c>
      <c r="H150">
        <v>514</v>
      </c>
      <c r="I150">
        <v>789</v>
      </c>
      <c r="J150">
        <v>759</v>
      </c>
      <c r="K150">
        <v>1768</v>
      </c>
      <c r="L150">
        <f t="shared" si="3"/>
        <v>-979</v>
      </c>
    </row>
    <row r="151" spans="1:12" x14ac:dyDescent="0.3">
      <c r="A151" s="41">
        <v>46023</v>
      </c>
      <c r="B151">
        <v>2026</v>
      </c>
      <c r="C151">
        <v>1</v>
      </c>
      <c r="D151" t="s">
        <v>75</v>
      </c>
      <c r="E151" t="s">
        <v>76</v>
      </c>
      <c r="F151">
        <v>404</v>
      </c>
      <c r="G151" t="s">
        <v>9</v>
      </c>
      <c r="H151">
        <v>1155</v>
      </c>
      <c r="I151">
        <v>1276</v>
      </c>
      <c r="J151">
        <v>604</v>
      </c>
      <c r="K151">
        <v>1407</v>
      </c>
      <c r="L151">
        <f t="shared" si="3"/>
        <v>-131</v>
      </c>
    </row>
    <row r="152" spans="1:12" x14ac:dyDescent="0.3">
      <c r="A152" s="41">
        <v>46023</v>
      </c>
      <c r="B152">
        <v>2026</v>
      </c>
      <c r="C152">
        <v>1</v>
      </c>
      <c r="D152" t="s">
        <v>75</v>
      </c>
      <c r="E152" t="s">
        <v>76</v>
      </c>
      <c r="F152">
        <v>405</v>
      </c>
      <c r="G152" t="s">
        <v>10</v>
      </c>
      <c r="H152">
        <v>644</v>
      </c>
      <c r="I152">
        <v>3959</v>
      </c>
      <c r="J152">
        <v>155</v>
      </c>
      <c r="K152">
        <v>1019</v>
      </c>
      <c r="L152">
        <f t="shared" si="3"/>
        <v>2940</v>
      </c>
    </row>
    <row r="153" spans="1:12" x14ac:dyDescent="0.3">
      <c r="A153" s="41">
        <v>46023</v>
      </c>
      <c r="B153">
        <v>2026</v>
      </c>
      <c r="C153">
        <v>1</v>
      </c>
      <c r="D153" t="s">
        <v>75</v>
      </c>
      <c r="E153" t="s">
        <v>76</v>
      </c>
      <c r="F153">
        <v>406</v>
      </c>
      <c r="G153" t="s">
        <v>11</v>
      </c>
      <c r="H153">
        <v>1088</v>
      </c>
      <c r="I153">
        <v>4885</v>
      </c>
      <c r="J153">
        <v>2815</v>
      </c>
      <c r="K153">
        <v>17564</v>
      </c>
      <c r="L153">
        <f t="shared" si="3"/>
        <v>-12679</v>
      </c>
    </row>
    <row r="154" spans="1:12" x14ac:dyDescent="0.3">
      <c r="A154" s="41">
        <v>46023</v>
      </c>
      <c r="B154">
        <v>2026</v>
      </c>
      <c r="C154">
        <v>1</v>
      </c>
      <c r="D154" t="s">
        <v>75</v>
      </c>
      <c r="E154" t="s">
        <v>76</v>
      </c>
      <c r="F154">
        <v>2105</v>
      </c>
      <c r="G154" t="s">
        <v>25</v>
      </c>
      <c r="H154">
        <v>335</v>
      </c>
      <c r="I154">
        <v>1366</v>
      </c>
      <c r="J154">
        <v>4</v>
      </c>
      <c r="K154">
        <v>52</v>
      </c>
      <c r="L154">
        <f t="shared" si="3"/>
        <v>1314</v>
      </c>
    </row>
    <row r="155" spans="1:12" x14ac:dyDescent="0.3">
      <c r="A155" s="41">
        <v>46023</v>
      </c>
      <c r="B155">
        <v>2026</v>
      </c>
      <c r="C155">
        <v>1</v>
      </c>
      <c r="D155" t="s">
        <v>75</v>
      </c>
      <c r="E155" t="s">
        <v>76</v>
      </c>
      <c r="F155">
        <v>3501</v>
      </c>
      <c r="G155" t="s">
        <v>26</v>
      </c>
      <c r="H155">
        <v>308</v>
      </c>
      <c r="I155">
        <v>1924</v>
      </c>
      <c r="J155">
        <v>7</v>
      </c>
      <c r="K155">
        <v>44</v>
      </c>
      <c r="L155">
        <f t="shared" si="3"/>
        <v>1880</v>
      </c>
    </row>
    <row r="156" spans="1:12" x14ac:dyDescent="0.3">
      <c r="A156" s="41">
        <v>45658</v>
      </c>
      <c r="B156">
        <v>2025</v>
      </c>
      <c r="C156">
        <v>1</v>
      </c>
      <c r="D156" t="s">
        <v>75</v>
      </c>
      <c r="E156" t="s">
        <v>80</v>
      </c>
      <c r="F156" s="3">
        <v>102</v>
      </c>
      <c r="G156" s="3" t="s">
        <v>43</v>
      </c>
      <c r="H156" s="3">
        <v>1420</v>
      </c>
      <c r="I156" s="3">
        <v>2734</v>
      </c>
      <c r="J156" s="3">
        <v>7</v>
      </c>
      <c r="K156" s="3">
        <v>41</v>
      </c>
      <c r="L156">
        <f t="shared" si="3"/>
        <v>2693</v>
      </c>
    </row>
    <row r="157" spans="1:12" x14ac:dyDescent="0.3">
      <c r="A157" s="41">
        <v>45658</v>
      </c>
      <c r="B157">
        <v>2025</v>
      </c>
      <c r="C157">
        <v>1</v>
      </c>
      <c r="D157" t="s">
        <v>75</v>
      </c>
      <c r="E157" t="s">
        <v>80</v>
      </c>
      <c r="F157" s="3">
        <v>201</v>
      </c>
      <c r="G157" s="3" t="s">
        <v>44</v>
      </c>
      <c r="H157" s="3">
        <v>21</v>
      </c>
      <c r="I157" s="3">
        <v>102</v>
      </c>
      <c r="J157" s="3">
        <v>5</v>
      </c>
      <c r="K157" s="3">
        <v>75</v>
      </c>
      <c r="L157">
        <f t="shared" si="3"/>
        <v>27</v>
      </c>
    </row>
    <row r="158" spans="1:12" x14ac:dyDescent="0.3">
      <c r="A158" s="41">
        <v>45658</v>
      </c>
      <c r="B158">
        <v>2025</v>
      </c>
      <c r="C158">
        <v>1</v>
      </c>
      <c r="D158" t="s">
        <v>75</v>
      </c>
      <c r="E158" t="s">
        <v>80</v>
      </c>
      <c r="F158" s="3">
        <v>202</v>
      </c>
      <c r="G158" s="3" t="s">
        <v>45</v>
      </c>
      <c r="H158" s="3">
        <v>1402</v>
      </c>
      <c r="I158" s="3">
        <v>5301</v>
      </c>
      <c r="J158" s="3">
        <v>105</v>
      </c>
      <c r="K158" s="3">
        <v>630</v>
      </c>
      <c r="L158">
        <f t="shared" si="3"/>
        <v>4671</v>
      </c>
    </row>
    <row r="159" spans="1:12" x14ac:dyDescent="0.3">
      <c r="A159" s="41">
        <v>45658</v>
      </c>
      <c r="B159">
        <v>2025</v>
      </c>
      <c r="C159">
        <v>1</v>
      </c>
      <c r="D159" t="s">
        <v>75</v>
      </c>
      <c r="E159" t="s">
        <v>80</v>
      </c>
      <c r="F159" s="3">
        <v>401</v>
      </c>
      <c r="G159" s="3" t="s">
        <v>7</v>
      </c>
      <c r="H159" s="3">
        <v>1725</v>
      </c>
      <c r="I159" s="3">
        <v>1344</v>
      </c>
      <c r="J159" s="3">
        <v>644</v>
      </c>
      <c r="K159" s="3">
        <v>751</v>
      </c>
      <c r="L159">
        <f t="shared" si="3"/>
        <v>593</v>
      </c>
    </row>
    <row r="160" spans="1:12" x14ac:dyDescent="0.3">
      <c r="A160" s="41">
        <v>45658</v>
      </c>
      <c r="B160">
        <v>2025</v>
      </c>
      <c r="C160">
        <v>1</v>
      </c>
      <c r="D160" t="s">
        <v>75</v>
      </c>
      <c r="E160" t="s">
        <v>80</v>
      </c>
      <c r="F160" s="3">
        <v>402</v>
      </c>
      <c r="G160" s="3" t="s">
        <v>8</v>
      </c>
      <c r="H160" s="3">
        <v>2335</v>
      </c>
      <c r="I160" s="3">
        <v>5964</v>
      </c>
      <c r="J160" s="3">
        <v>129</v>
      </c>
      <c r="K160" s="3">
        <v>445</v>
      </c>
      <c r="L160">
        <f t="shared" si="3"/>
        <v>5519</v>
      </c>
    </row>
    <row r="161" spans="1:12" x14ac:dyDescent="0.3">
      <c r="A161" s="41">
        <v>45658</v>
      </c>
      <c r="B161">
        <v>2025</v>
      </c>
      <c r="C161">
        <v>1</v>
      </c>
      <c r="D161" t="s">
        <v>75</v>
      </c>
      <c r="E161" t="s">
        <v>80</v>
      </c>
      <c r="F161" s="3">
        <v>403</v>
      </c>
      <c r="G161" s="3" t="s">
        <v>23</v>
      </c>
      <c r="H161" s="3">
        <v>422</v>
      </c>
      <c r="I161" s="3">
        <v>600</v>
      </c>
      <c r="J161" s="3">
        <v>855</v>
      </c>
      <c r="K161" s="3">
        <v>1658</v>
      </c>
      <c r="L161">
        <f t="shared" si="3"/>
        <v>-1058</v>
      </c>
    </row>
    <row r="162" spans="1:12" x14ac:dyDescent="0.3">
      <c r="A162" s="41">
        <v>45658</v>
      </c>
      <c r="B162">
        <v>2025</v>
      </c>
      <c r="C162">
        <v>1</v>
      </c>
      <c r="D162" t="s">
        <v>75</v>
      </c>
      <c r="E162" t="s">
        <v>80</v>
      </c>
      <c r="F162" s="3">
        <v>404</v>
      </c>
      <c r="G162" s="3" t="s">
        <v>9</v>
      </c>
      <c r="H162" s="3">
        <v>1445</v>
      </c>
      <c r="I162" s="3">
        <v>1313</v>
      </c>
      <c r="J162" s="3">
        <v>191</v>
      </c>
      <c r="K162" s="3">
        <v>406</v>
      </c>
      <c r="L162">
        <f t="shared" si="3"/>
        <v>907</v>
      </c>
    </row>
    <row r="163" spans="1:12" x14ac:dyDescent="0.3">
      <c r="A163" s="41">
        <v>45658</v>
      </c>
      <c r="B163">
        <v>2025</v>
      </c>
      <c r="C163">
        <v>1</v>
      </c>
      <c r="D163" t="s">
        <v>75</v>
      </c>
      <c r="E163" t="s">
        <v>80</v>
      </c>
      <c r="F163" s="3">
        <v>405</v>
      </c>
      <c r="G163" s="3" t="s">
        <v>10</v>
      </c>
      <c r="H163" s="3">
        <v>749</v>
      </c>
      <c r="I163" s="3">
        <v>5776</v>
      </c>
      <c r="J163" s="3">
        <v>135</v>
      </c>
      <c r="K163" s="3">
        <v>1315</v>
      </c>
      <c r="L163">
        <f t="shared" si="3"/>
        <v>4461</v>
      </c>
    </row>
    <row r="164" spans="1:12" x14ac:dyDescent="0.3">
      <c r="A164" s="41">
        <v>45658</v>
      </c>
      <c r="B164">
        <v>2025</v>
      </c>
      <c r="C164">
        <v>1</v>
      </c>
      <c r="D164" t="s">
        <v>75</v>
      </c>
      <c r="E164" t="s">
        <v>80</v>
      </c>
      <c r="F164" s="3">
        <v>406</v>
      </c>
      <c r="G164" s="3" t="s">
        <v>11</v>
      </c>
      <c r="H164" s="3">
        <v>935</v>
      </c>
      <c r="I164" s="3">
        <v>4410</v>
      </c>
      <c r="J164" s="3">
        <v>3064</v>
      </c>
      <c r="K164" s="3">
        <v>18115</v>
      </c>
      <c r="L164">
        <f t="shared" si="3"/>
        <v>-13705</v>
      </c>
    </row>
    <row r="165" spans="1:12" x14ac:dyDescent="0.3">
      <c r="A165" s="41">
        <v>45658</v>
      </c>
      <c r="B165">
        <v>2025</v>
      </c>
      <c r="C165">
        <v>1</v>
      </c>
      <c r="D165" t="s">
        <v>75</v>
      </c>
      <c r="E165" t="s">
        <v>80</v>
      </c>
      <c r="F165" s="3">
        <v>2105</v>
      </c>
      <c r="G165" s="3" t="s">
        <v>25</v>
      </c>
      <c r="H165" s="3">
        <v>490</v>
      </c>
      <c r="I165" s="3">
        <v>1791</v>
      </c>
      <c r="J165" s="3">
        <v>9</v>
      </c>
      <c r="K165" s="3">
        <v>68</v>
      </c>
      <c r="L165">
        <f t="shared" si="3"/>
        <v>1723</v>
      </c>
    </row>
    <row r="166" spans="1:12" x14ac:dyDescent="0.3">
      <c r="A166" s="41">
        <v>45658</v>
      </c>
      <c r="B166">
        <v>2025</v>
      </c>
      <c r="C166">
        <v>1</v>
      </c>
      <c r="D166" t="s">
        <v>75</v>
      </c>
      <c r="E166" t="s">
        <v>80</v>
      </c>
      <c r="F166" s="3">
        <v>3501</v>
      </c>
      <c r="G166" s="3" t="s">
        <v>26</v>
      </c>
      <c r="H166" s="3">
        <v>0</v>
      </c>
      <c r="I166" s="3">
        <v>3484</v>
      </c>
      <c r="J166" s="3">
        <v>0</v>
      </c>
      <c r="K166" s="3">
        <v>12</v>
      </c>
      <c r="L166">
        <f t="shared" si="3"/>
        <v>3472</v>
      </c>
    </row>
    <row r="167" spans="1:12" x14ac:dyDescent="0.3">
      <c r="A167" s="41">
        <v>46054</v>
      </c>
      <c r="B167">
        <v>2026</v>
      </c>
      <c r="C167">
        <v>2</v>
      </c>
      <c r="D167" t="s">
        <v>82</v>
      </c>
      <c r="E167" t="s">
        <v>83</v>
      </c>
      <c r="F167" s="3">
        <v>102</v>
      </c>
      <c r="G167" s="3" t="s">
        <v>43</v>
      </c>
      <c r="H167" s="39">
        <v>2734.1</v>
      </c>
      <c r="I167" s="3">
        <v>6353.8</v>
      </c>
      <c r="J167" s="3">
        <v>0</v>
      </c>
      <c r="K167" s="3">
        <v>0</v>
      </c>
      <c r="L167">
        <f>I167-K167</f>
        <v>6353.8</v>
      </c>
    </row>
    <row r="168" spans="1:12" x14ac:dyDescent="0.3">
      <c r="A168" s="41">
        <v>46054</v>
      </c>
      <c r="B168">
        <v>2026</v>
      </c>
      <c r="C168">
        <v>2</v>
      </c>
      <c r="D168" t="s">
        <v>82</v>
      </c>
      <c r="E168" t="s">
        <v>83</v>
      </c>
      <c r="F168" s="3">
        <v>201</v>
      </c>
      <c r="G168" s="3" t="s">
        <v>44</v>
      </c>
      <c r="H168" s="3">
        <v>523.79999999999995</v>
      </c>
      <c r="I168" s="3">
        <v>3919.9</v>
      </c>
      <c r="J168" s="3">
        <v>19.7</v>
      </c>
      <c r="K168" s="3">
        <v>544.9</v>
      </c>
      <c r="L168">
        <f t="shared" ref="L168:L169" si="4">I168-K168</f>
        <v>3375</v>
      </c>
    </row>
    <row r="169" spans="1:12" x14ac:dyDescent="0.3">
      <c r="A169" s="41">
        <v>46054</v>
      </c>
      <c r="B169">
        <v>2026</v>
      </c>
      <c r="C169">
        <v>2</v>
      </c>
      <c r="D169" t="s">
        <v>82</v>
      </c>
      <c r="E169" t="s">
        <v>83</v>
      </c>
      <c r="F169" s="3">
        <v>202</v>
      </c>
      <c r="G169" s="3" t="s">
        <v>45</v>
      </c>
      <c r="H169" s="3">
        <v>2240</v>
      </c>
      <c r="I169" s="3">
        <v>10428.6</v>
      </c>
      <c r="J169" s="3">
        <v>150.5</v>
      </c>
      <c r="K169" s="3">
        <v>1116.5</v>
      </c>
      <c r="L169">
        <f t="shared" si="4"/>
        <v>9312.1</v>
      </c>
    </row>
    <row r="170" spans="1:12" x14ac:dyDescent="0.3">
      <c r="A170" s="41">
        <v>46054</v>
      </c>
      <c r="B170">
        <v>2026</v>
      </c>
      <c r="C170">
        <v>2</v>
      </c>
      <c r="D170" t="s">
        <v>82</v>
      </c>
      <c r="E170" t="s">
        <v>83</v>
      </c>
      <c r="F170" s="3">
        <v>401</v>
      </c>
      <c r="G170" s="3" t="s">
        <v>7</v>
      </c>
      <c r="H170" s="3">
        <v>4009.5</v>
      </c>
      <c r="I170" s="3">
        <v>3312.3</v>
      </c>
      <c r="J170" s="3">
        <v>538.1</v>
      </c>
      <c r="K170" s="3">
        <v>760.2</v>
      </c>
      <c r="L170">
        <f t="shared" ref="L170:L177" si="5">I170-K170</f>
        <v>2552.1000000000004</v>
      </c>
    </row>
    <row r="171" spans="1:12" x14ac:dyDescent="0.3">
      <c r="A171" s="41">
        <v>46054</v>
      </c>
      <c r="B171">
        <v>2026</v>
      </c>
      <c r="C171">
        <v>2</v>
      </c>
      <c r="D171" t="s">
        <v>82</v>
      </c>
      <c r="E171" t="s">
        <v>83</v>
      </c>
      <c r="F171" s="3">
        <v>402</v>
      </c>
      <c r="G171" s="3" t="s">
        <v>8</v>
      </c>
      <c r="H171" s="3">
        <v>5380.3</v>
      </c>
      <c r="I171" s="3">
        <v>13008.5</v>
      </c>
      <c r="J171" s="3">
        <v>232.9</v>
      </c>
      <c r="K171" s="3">
        <v>860.2</v>
      </c>
      <c r="L171">
        <f t="shared" si="5"/>
        <v>12148.3</v>
      </c>
    </row>
    <row r="172" spans="1:12" x14ac:dyDescent="0.3">
      <c r="A172" s="41">
        <v>46054</v>
      </c>
      <c r="B172">
        <v>2026</v>
      </c>
      <c r="C172">
        <v>2</v>
      </c>
      <c r="D172" t="s">
        <v>82</v>
      </c>
      <c r="E172" t="s">
        <v>83</v>
      </c>
      <c r="F172" s="3">
        <v>403</v>
      </c>
      <c r="G172" s="3" t="s">
        <v>23</v>
      </c>
      <c r="H172" s="3">
        <v>1014.1</v>
      </c>
      <c r="I172" s="3">
        <v>1546.8</v>
      </c>
      <c r="J172" s="3">
        <v>1561.3</v>
      </c>
      <c r="K172" s="3">
        <v>3680.2</v>
      </c>
      <c r="L172">
        <f t="shared" si="5"/>
        <v>-2133.3999999999996</v>
      </c>
    </row>
    <row r="173" spans="1:12" x14ac:dyDescent="0.3">
      <c r="A173" s="41">
        <v>46054</v>
      </c>
      <c r="B173">
        <v>2026</v>
      </c>
      <c r="C173">
        <v>2</v>
      </c>
      <c r="D173" t="s">
        <v>82</v>
      </c>
      <c r="E173" t="s">
        <v>83</v>
      </c>
      <c r="F173" s="3">
        <v>404</v>
      </c>
      <c r="G173" s="3" t="s">
        <v>9</v>
      </c>
      <c r="H173" s="3">
        <v>2539.6999999999998</v>
      </c>
      <c r="I173" s="3">
        <v>2820</v>
      </c>
      <c r="J173" s="3">
        <v>997.3</v>
      </c>
      <c r="K173" s="3">
        <v>2015.2</v>
      </c>
      <c r="L173">
        <f t="shared" si="5"/>
        <v>804.8</v>
      </c>
    </row>
    <row r="174" spans="1:12" x14ac:dyDescent="0.3">
      <c r="A174" s="41">
        <v>46054</v>
      </c>
      <c r="B174">
        <v>2026</v>
      </c>
      <c r="C174">
        <v>2</v>
      </c>
      <c r="D174" t="s">
        <v>82</v>
      </c>
      <c r="E174" t="s">
        <v>83</v>
      </c>
      <c r="F174" s="3">
        <v>405</v>
      </c>
      <c r="G174" s="3" t="s">
        <v>10</v>
      </c>
      <c r="H174" s="3">
        <v>1580.6</v>
      </c>
      <c r="I174" s="3">
        <v>9379.4</v>
      </c>
      <c r="J174" s="3">
        <v>407</v>
      </c>
      <c r="K174" s="3">
        <v>2841.8</v>
      </c>
      <c r="L174">
        <f t="shared" si="5"/>
        <v>6537.5999999999995</v>
      </c>
    </row>
    <row r="175" spans="1:12" x14ac:dyDescent="0.3">
      <c r="A175" s="41">
        <v>46054</v>
      </c>
      <c r="B175">
        <v>2026</v>
      </c>
      <c r="C175">
        <v>2</v>
      </c>
      <c r="D175" t="s">
        <v>82</v>
      </c>
      <c r="E175" t="s">
        <v>83</v>
      </c>
      <c r="F175" s="3">
        <v>406</v>
      </c>
      <c r="G175" s="3" t="s">
        <v>11</v>
      </c>
      <c r="H175" s="3">
        <v>2254.8000000000002</v>
      </c>
      <c r="I175" s="3">
        <v>10005.700000000001</v>
      </c>
      <c r="J175" s="3">
        <v>6373.6</v>
      </c>
      <c r="K175" s="3">
        <v>39935.9</v>
      </c>
      <c r="L175">
        <f t="shared" si="5"/>
        <v>-29930.2</v>
      </c>
    </row>
    <row r="176" spans="1:12" x14ac:dyDescent="0.3">
      <c r="A176" s="41">
        <v>46054</v>
      </c>
      <c r="B176">
        <v>2026</v>
      </c>
      <c r="C176">
        <v>2</v>
      </c>
      <c r="D176" t="s">
        <v>82</v>
      </c>
      <c r="E176" t="s">
        <v>83</v>
      </c>
      <c r="F176" s="3">
        <v>2105</v>
      </c>
      <c r="G176" s="3" t="s">
        <v>25</v>
      </c>
      <c r="H176" s="3">
        <v>1037.5999999999999</v>
      </c>
      <c r="I176" s="3">
        <v>4080</v>
      </c>
      <c r="J176" s="3">
        <v>13.7</v>
      </c>
      <c r="K176" s="3">
        <v>136</v>
      </c>
      <c r="L176">
        <f t="shared" si="5"/>
        <v>3944</v>
      </c>
    </row>
    <row r="177" spans="1:12" x14ac:dyDescent="0.3">
      <c r="A177" s="41">
        <v>46054</v>
      </c>
      <c r="B177">
        <v>2026</v>
      </c>
      <c r="C177">
        <v>2</v>
      </c>
      <c r="D177" t="s">
        <v>82</v>
      </c>
      <c r="E177" t="s">
        <v>83</v>
      </c>
      <c r="F177" s="3">
        <v>3501</v>
      </c>
      <c r="G177" s="3" t="s">
        <v>26</v>
      </c>
      <c r="H177" s="3">
        <v>308</v>
      </c>
      <c r="I177" s="3">
        <v>1924</v>
      </c>
      <c r="J177" s="3">
        <v>7</v>
      </c>
      <c r="K177" s="3">
        <v>44</v>
      </c>
      <c r="L177">
        <f t="shared" si="5"/>
        <v>1880</v>
      </c>
    </row>
    <row r="178" spans="1:12" x14ac:dyDescent="0.3">
      <c r="A178" s="41">
        <v>45689</v>
      </c>
      <c r="B178">
        <v>2025</v>
      </c>
      <c r="C178">
        <v>2</v>
      </c>
      <c r="D178" t="s">
        <v>82</v>
      </c>
      <c r="E178" t="s">
        <v>84</v>
      </c>
      <c r="F178" s="3">
        <v>102</v>
      </c>
      <c r="G178" s="3" t="s">
        <v>43</v>
      </c>
      <c r="H178" s="3">
        <v>2725.2</v>
      </c>
      <c r="I178" s="3">
        <v>5553.4</v>
      </c>
      <c r="J178" s="3">
        <v>7</v>
      </c>
      <c r="K178" s="3">
        <v>41</v>
      </c>
      <c r="L178">
        <f>I178-K178</f>
        <v>5512.4</v>
      </c>
    </row>
    <row r="179" spans="1:12" x14ac:dyDescent="0.3">
      <c r="A179" s="41">
        <v>45689</v>
      </c>
      <c r="B179">
        <v>2025</v>
      </c>
      <c r="C179">
        <v>2</v>
      </c>
      <c r="D179" t="s">
        <v>82</v>
      </c>
      <c r="E179" t="s">
        <v>84</v>
      </c>
      <c r="F179" s="3">
        <v>201</v>
      </c>
      <c r="G179" s="3" t="s">
        <v>44</v>
      </c>
      <c r="H179" s="3">
        <v>21.6</v>
      </c>
      <c r="I179" s="3">
        <v>110.2</v>
      </c>
      <c r="J179" s="3">
        <v>18.3</v>
      </c>
      <c r="K179" s="3">
        <v>365.6</v>
      </c>
      <c r="L179">
        <f t="shared" ref="L179:L188" si="6">I179-K179</f>
        <v>-255.40000000000003</v>
      </c>
    </row>
    <row r="180" spans="1:12" x14ac:dyDescent="0.3">
      <c r="A180" s="41">
        <v>45689</v>
      </c>
      <c r="B180">
        <v>2025</v>
      </c>
      <c r="C180">
        <v>2</v>
      </c>
      <c r="D180" t="s">
        <v>82</v>
      </c>
      <c r="E180" t="s">
        <v>84</v>
      </c>
      <c r="F180" s="3">
        <v>202</v>
      </c>
      <c r="G180" s="3" t="s">
        <v>45</v>
      </c>
      <c r="H180" s="3">
        <v>2724.5</v>
      </c>
      <c r="I180" s="3">
        <v>10120.799999999999</v>
      </c>
      <c r="J180" s="3">
        <v>192.9</v>
      </c>
      <c r="K180" s="3">
        <v>1192.5</v>
      </c>
      <c r="L180">
        <f t="shared" si="6"/>
        <v>8928.2999999999993</v>
      </c>
    </row>
    <row r="181" spans="1:12" x14ac:dyDescent="0.3">
      <c r="A181" s="41">
        <v>45689</v>
      </c>
      <c r="B181">
        <v>2025</v>
      </c>
      <c r="C181">
        <v>2</v>
      </c>
      <c r="D181" t="s">
        <v>82</v>
      </c>
      <c r="E181" t="s">
        <v>84</v>
      </c>
      <c r="F181" s="3">
        <v>401</v>
      </c>
      <c r="G181" s="3" t="s">
        <v>7</v>
      </c>
      <c r="H181" s="3">
        <v>3835</v>
      </c>
      <c r="I181" s="3">
        <v>2880.9</v>
      </c>
      <c r="J181" s="3">
        <v>890.7</v>
      </c>
      <c r="K181" s="3">
        <v>1030</v>
      </c>
      <c r="L181">
        <f t="shared" si="6"/>
        <v>1850.9</v>
      </c>
    </row>
    <row r="182" spans="1:12" x14ac:dyDescent="0.3">
      <c r="A182" s="41">
        <v>45689</v>
      </c>
      <c r="B182">
        <v>2025</v>
      </c>
      <c r="C182">
        <v>2</v>
      </c>
      <c r="D182" t="s">
        <v>82</v>
      </c>
      <c r="E182" t="s">
        <v>84</v>
      </c>
      <c r="F182" s="3">
        <v>402</v>
      </c>
      <c r="G182" s="3" t="s">
        <v>8</v>
      </c>
      <c r="H182" s="3">
        <v>5580.3</v>
      </c>
      <c r="I182" s="3">
        <v>14488.9</v>
      </c>
      <c r="J182" s="3">
        <v>327.2</v>
      </c>
      <c r="K182" s="3">
        <v>1242.2</v>
      </c>
      <c r="L182">
        <f t="shared" si="6"/>
        <v>13246.699999999999</v>
      </c>
    </row>
    <row r="183" spans="1:12" x14ac:dyDescent="0.3">
      <c r="A183" s="41">
        <v>45689</v>
      </c>
      <c r="B183">
        <v>2025</v>
      </c>
      <c r="C183">
        <v>2</v>
      </c>
      <c r="D183" t="s">
        <v>82</v>
      </c>
      <c r="E183" t="s">
        <v>84</v>
      </c>
      <c r="F183" s="3">
        <v>403</v>
      </c>
      <c r="G183" s="3" t="s">
        <v>23</v>
      </c>
      <c r="H183" s="3">
        <v>849.4</v>
      </c>
      <c r="I183" s="3">
        <v>1175.4000000000001</v>
      </c>
      <c r="J183" s="3">
        <v>1588.4</v>
      </c>
      <c r="K183" s="3">
        <v>3084.4</v>
      </c>
      <c r="L183">
        <f t="shared" si="6"/>
        <v>-1909</v>
      </c>
    </row>
    <row r="184" spans="1:12" x14ac:dyDescent="0.3">
      <c r="A184" s="41">
        <v>45689</v>
      </c>
      <c r="B184">
        <v>2025</v>
      </c>
      <c r="C184">
        <v>2</v>
      </c>
      <c r="D184" t="s">
        <v>82</v>
      </c>
      <c r="E184" t="s">
        <v>84</v>
      </c>
      <c r="F184" s="3">
        <v>404</v>
      </c>
      <c r="G184" s="3" t="s">
        <v>9</v>
      </c>
      <c r="H184" s="3">
        <v>2950.6</v>
      </c>
      <c r="I184" s="3">
        <v>2689</v>
      </c>
      <c r="J184" s="3">
        <v>514.29999999999995</v>
      </c>
      <c r="K184" s="3">
        <v>938.8</v>
      </c>
      <c r="L184">
        <f t="shared" si="6"/>
        <v>1750.2</v>
      </c>
    </row>
    <row r="185" spans="1:12" x14ac:dyDescent="0.3">
      <c r="A185" s="41">
        <v>45689</v>
      </c>
      <c r="B185">
        <v>2025</v>
      </c>
      <c r="C185">
        <v>2</v>
      </c>
      <c r="D185" t="s">
        <v>82</v>
      </c>
      <c r="E185" t="s">
        <v>84</v>
      </c>
      <c r="F185" s="3">
        <v>405</v>
      </c>
      <c r="G185" s="3" t="s">
        <v>10</v>
      </c>
      <c r="H185" s="3">
        <v>1750.2</v>
      </c>
      <c r="I185" s="3">
        <v>12981.7</v>
      </c>
      <c r="J185" s="3">
        <v>182.5</v>
      </c>
      <c r="K185" s="3">
        <v>1820.2</v>
      </c>
      <c r="L185">
        <f t="shared" si="6"/>
        <v>11161.5</v>
      </c>
    </row>
    <row r="186" spans="1:12" x14ac:dyDescent="0.3">
      <c r="A186" s="41">
        <v>45689</v>
      </c>
      <c r="B186">
        <v>2025</v>
      </c>
      <c r="C186">
        <v>2</v>
      </c>
      <c r="D186" t="s">
        <v>82</v>
      </c>
      <c r="E186" t="s">
        <v>84</v>
      </c>
      <c r="F186" s="3">
        <v>406</v>
      </c>
      <c r="G186" s="3" t="s">
        <v>11</v>
      </c>
      <c r="H186" s="3">
        <v>2028.5</v>
      </c>
      <c r="I186" s="3">
        <v>9357.7000000000007</v>
      </c>
      <c r="J186" s="3">
        <v>6061</v>
      </c>
      <c r="K186" s="3">
        <v>35959.1</v>
      </c>
      <c r="L186">
        <f t="shared" si="6"/>
        <v>-26601.399999999998</v>
      </c>
    </row>
    <row r="187" spans="1:12" x14ac:dyDescent="0.3">
      <c r="A187" s="41">
        <v>45689</v>
      </c>
      <c r="B187">
        <v>2025</v>
      </c>
      <c r="C187">
        <v>2</v>
      </c>
      <c r="D187" t="s">
        <v>82</v>
      </c>
      <c r="E187" t="s">
        <v>84</v>
      </c>
      <c r="F187" s="3">
        <v>2105</v>
      </c>
      <c r="G187" s="3" t="s">
        <v>25</v>
      </c>
      <c r="H187" s="3">
        <v>1358.6</v>
      </c>
      <c r="I187" s="3">
        <v>4816.3</v>
      </c>
      <c r="J187" s="3">
        <v>70.5</v>
      </c>
      <c r="K187" s="3">
        <v>540.5</v>
      </c>
      <c r="L187">
        <f t="shared" si="6"/>
        <v>4275.8</v>
      </c>
    </row>
    <row r="188" spans="1:12" x14ac:dyDescent="0.3">
      <c r="A188" s="41">
        <v>45689</v>
      </c>
      <c r="B188">
        <v>2025</v>
      </c>
      <c r="C188">
        <v>2</v>
      </c>
      <c r="D188" t="s">
        <v>82</v>
      </c>
      <c r="E188" t="s">
        <v>84</v>
      </c>
      <c r="F188" s="3">
        <v>3501</v>
      </c>
      <c r="G188" s="3" t="s">
        <v>26</v>
      </c>
      <c r="H188" s="3">
        <v>523</v>
      </c>
      <c r="I188" s="3">
        <v>3484</v>
      </c>
      <c r="J188" s="3">
        <v>2</v>
      </c>
      <c r="K188" s="3">
        <v>12</v>
      </c>
      <c r="L188">
        <f t="shared" si="6"/>
        <v>3472</v>
      </c>
    </row>
    <row r="189" spans="1:12" x14ac:dyDescent="0.3">
      <c r="A189" s="41">
        <v>46082</v>
      </c>
      <c r="B189">
        <v>2026</v>
      </c>
      <c r="C189">
        <v>3</v>
      </c>
      <c r="D189" t="s">
        <v>87</v>
      </c>
      <c r="E189" t="s">
        <v>86</v>
      </c>
      <c r="F189" s="3">
        <v>102</v>
      </c>
      <c r="G189" s="3" t="s">
        <v>43</v>
      </c>
      <c r="H189" s="3">
        <v>5532</v>
      </c>
      <c r="I189" s="3">
        <v>11618</v>
      </c>
      <c r="J189" s="3">
        <v>0</v>
      </c>
      <c r="K189" s="3">
        <v>0</v>
      </c>
      <c r="L189">
        <f t="shared" ref="L189:L199" si="7">I189-K189</f>
        <v>11618</v>
      </c>
    </row>
    <row r="190" spans="1:12" x14ac:dyDescent="0.3">
      <c r="A190" s="41">
        <v>46082</v>
      </c>
      <c r="B190">
        <v>2026</v>
      </c>
      <c r="C190">
        <v>3</v>
      </c>
      <c r="D190" t="s">
        <v>87</v>
      </c>
      <c r="E190" t="s">
        <v>86</v>
      </c>
      <c r="F190" s="3">
        <v>201</v>
      </c>
      <c r="G190" s="3" t="s">
        <v>44</v>
      </c>
      <c r="H190" s="3">
        <v>991</v>
      </c>
      <c r="I190" s="3">
        <v>7612</v>
      </c>
      <c r="J190" s="3">
        <v>39</v>
      </c>
      <c r="K190" s="3">
        <v>1031</v>
      </c>
      <c r="L190">
        <f t="shared" si="7"/>
        <v>6581</v>
      </c>
    </row>
    <row r="191" spans="1:12" x14ac:dyDescent="0.3">
      <c r="A191" s="41">
        <v>46082</v>
      </c>
      <c r="B191">
        <v>2026</v>
      </c>
      <c r="C191">
        <v>3</v>
      </c>
      <c r="D191" t="s">
        <v>87</v>
      </c>
      <c r="E191" t="s">
        <v>86</v>
      </c>
      <c r="F191" s="3">
        <v>202</v>
      </c>
      <c r="G191" s="3" t="s">
        <v>45</v>
      </c>
      <c r="H191" s="3">
        <v>3912</v>
      </c>
      <c r="I191" s="3">
        <v>17805</v>
      </c>
      <c r="J191" s="3">
        <v>234</v>
      </c>
      <c r="K191" s="3">
        <v>1745</v>
      </c>
      <c r="L191">
        <f t="shared" si="7"/>
        <v>16060</v>
      </c>
    </row>
    <row r="192" spans="1:12" x14ac:dyDescent="0.3">
      <c r="A192" s="41">
        <v>46082</v>
      </c>
      <c r="B192">
        <v>2026</v>
      </c>
      <c r="C192">
        <v>3</v>
      </c>
      <c r="D192" t="s">
        <v>87</v>
      </c>
      <c r="E192" t="s">
        <v>86</v>
      </c>
      <c r="F192" s="3">
        <v>401</v>
      </c>
      <c r="G192" s="3" t="s">
        <v>7</v>
      </c>
      <c r="H192" s="3">
        <v>6027</v>
      </c>
      <c r="I192" s="3">
        <v>5031</v>
      </c>
      <c r="J192" s="3">
        <v>895</v>
      </c>
      <c r="K192" s="3">
        <v>1478</v>
      </c>
      <c r="L192">
        <f t="shared" si="7"/>
        <v>3553</v>
      </c>
    </row>
    <row r="193" spans="1:12" x14ac:dyDescent="0.3">
      <c r="A193" s="41">
        <v>46082</v>
      </c>
      <c r="B193">
        <v>2026</v>
      </c>
      <c r="C193">
        <v>3</v>
      </c>
      <c r="D193" t="s">
        <v>87</v>
      </c>
      <c r="E193" t="s">
        <v>86</v>
      </c>
      <c r="F193" s="3">
        <v>402</v>
      </c>
      <c r="G193" s="3" t="s">
        <v>8</v>
      </c>
      <c r="H193" s="3">
        <v>8984</v>
      </c>
      <c r="I193" s="3">
        <v>21934</v>
      </c>
      <c r="J193" s="3">
        <v>371</v>
      </c>
      <c r="K193" s="3">
        <v>1295</v>
      </c>
      <c r="L193">
        <f t="shared" si="7"/>
        <v>20639</v>
      </c>
    </row>
    <row r="194" spans="1:12" x14ac:dyDescent="0.3">
      <c r="A194" s="41">
        <v>46082</v>
      </c>
      <c r="B194">
        <v>2026</v>
      </c>
      <c r="C194">
        <v>3</v>
      </c>
      <c r="D194" t="s">
        <v>87</v>
      </c>
      <c r="E194" t="s">
        <v>86</v>
      </c>
      <c r="F194" s="3">
        <v>403</v>
      </c>
      <c r="G194" s="3" t="s">
        <v>23</v>
      </c>
      <c r="H194" s="3">
        <v>1626</v>
      </c>
      <c r="I194" s="3">
        <v>2467</v>
      </c>
      <c r="J194" s="3">
        <v>2388</v>
      </c>
      <c r="K194" s="3">
        <v>5621</v>
      </c>
      <c r="L194">
        <f t="shared" si="7"/>
        <v>-3154</v>
      </c>
    </row>
    <row r="195" spans="1:12" x14ac:dyDescent="0.3">
      <c r="A195" s="41">
        <v>46082</v>
      </c>
      <c r="B195">
        <v>2026</v>
      </c>
      <c r="C195">
        <v>3</v>
      </c>
      <c r="D195" t="s">
        <v>87</v>
      </c>
      <c r="E195" t="s">
        <v>86</v>
      </c>
      <c r="F195" s="3">
        <v>404</v>
      </c>
      <c r="G195" s="3" t="s">
        <v>9</v>
      </c>
      <c r="H195" s="3">
        <v>4256</v>
      </c>
      <c r="I195" s="3">
        <v>4842</v>
      </c>
      <c r="J195" s="3">
        <v>1854</v>
      </c>
      <c r="K195" s="3">
        <v>3828</v>
      </c>
      <c r="L195">
        <f t="shared" si="7"/>
        <v>1014</v>
      </c>
    </row>
    <row r="196" spans="1:12" x14ac:dyDescent="0.3">
      <c r="A196" s="41">
        <v>46082</v>
      </c>
      <c r="B196">
        <v>2026</v>
      </c>
      <c r="C196">
        <v>3</v>
      </c>
      <c r="D196" t="s">
        <v>87</v>
      </c>
      <c r="E196" t="s">
        <v>86</v>
      </c>
      <c r="F196" s="3">
        <v>405</v>
      </c>
      <c r="G196" s="3" t="s">
        <v>10</v>
      </c>
      <c r="H196" s="3">
        <v>2561</v>
      </c>
      <c r="I196" s="3">
        <v>14810</v>
      </c>
      <c r="J196" s="3">
        <v>712</v>
      </c>
      <c r="K196" s="3">
        <v>4697</v>
      </c>
      <c r="L196">
        <f t="shared" si="7"/>
        <v>10113</v>
      </c>
    </row>
    <row r="197" spans="1:12" x14ac:dyDescent="0.3">
      <c r="A197" s="41">
        <v>46082</v>
      </c>
      <c r="B197">
        <v>2026</v>
      </c>
      <c r="C197">
        <v>3</v>
      </c>
      <c r="D197" t="s">
        <v>87</v>
      </c>
      <c r="E197" t="s">
        <v>86</v>
      </c>
      <c r="F197" s="3">
        <v>406</v>
      </c>
      <c r="G197" s="3" t="s">
        <v>11</v>
      </c>
      <c r="H197" s="3">
        <v>3577</v>
      </c>
      <c r="I197" s="3">
        <v>16156</v>
      </c>
      <c r="J197" s="3">
        <v>10615</v>
      </c>
      <c r="K197" s="3">
        <v>65706</v>
      </c>
      <c r="L197">
        <f t="shared" si="7"/>
        <v>-49550</v>
      </c>
    </row>
    <row r="198" spans="1:12" x14ac:dyDescent="0.3">
      <c r="A198" s="41">
        <v>46082</v>
      </c>
      <c r="B198">
        <v>2026</v>
      </c>
      <c r="C198">
        <v>3</v>
      </c>
      <c r="D198" t="s">
        <v>87</v>
      </c>
      <c r="E198" t="s">
        <v>86</v>
      </c>
      <c r="F198" s="3">
        <v>2105</v>
      </c>
      <c r="G198" s="3" t="s">
        <v>25</v>
      </c>
      <c r="H198" s="3">
        <v>2412</v>
      </c>
      <c r="I198" s="3">
        <v>8993</v>
      </c>
      <c r="J198" s="3">
        <v>88</v>
      </c>
      <c r="K198" s="3">
        <v>351</v>
      </c>
      <c r="L198">
        <f t="shared" si="7"/>
        <v>8642</v>
      </c>
    </row>
    <row r="199" spans="1:12" x14ac:dyDescent="0.3">
      <c r="A199" s="41">
        <v>46082</v>
      </c>
      <c r="B199">
        <v>2026</v>
      </c>
      <c r="C199">
        <v>3</v>
      </c>
      <c r="D199" t="s">
        <v>87</v>
      </c>
      <c r="E199" t="s">
        <v>86</v>
      </c>
      <c r="F199" s="3">
        <v>3501</v>
      </c>
      <c r="G199" s="3" t="s">
        <v>26</v>
      </c>
      <c r="H199" s="3">
        <v>1118</v>
      </c>
      <c r="I199" s="3">
        <v>7230</v>
      </c>
      <c r="J199" s="3">
        <v>31</v>
      </c>
      <c r="K199" s="3">
        <v>205</v>
      </c>
      <c r="L199">
        <f t="shared" si="7"/>
        <v>7025</v>
      </c>
    </row>
    <row r="200" spans="1:12" x14ac:dyDescent="0.3">
      <c r="A200" s="41">
        <v>45717</v>
      </c>
      <c r="B200">
        <v>2025</v>
      </c>
      <c r="C200">
        <v>3</v>
      </c>
      <c r="D200" t="s">
        <v>87</v>
      </c>
      <c r="E200" t="s">
        <v>88</v>
      </c>
      <c r="F200" s="3">
        <v>102</v>
      </c>
      <c r="G200" s="3" t="s">
        <v>43</v>
      </c>
      <c r="H200" s="3">
        <v>5214</v>
      </c>
      <c r="I200" s="3">
        <v>10527</v>
      </c>
      <c r="J200" s="3">
        <v>7</v>
      </c>
      <c r="K200" s="3">
        <v>41</v>
      </c>
      <c r="L200">
        <f>I200-K200</f>
        <v>10486</v>
      </c>
    </row>
    <row r="201" spans="1:12" x14ac:dyDescent="0.3">
      <c r="A201" s="41">
        <v>45717</v>
      </c>
      <c r="B201">
        <v>2025</v>
      </c>
      <c r="C201">
        <v>3</v>
      </c>
      <c r="D201" t="s">
        <v>87</v>
      </c>
      <c r="E201" t="s">
        <v>88</v>
      </c>
      <c r="F201" s="3">
        <v>201</v>
      </c>
      <c r="G201" s="3" t="s">
        <v>44</v>
      </c>
      <c r="H201" s="3">
        <v>43</v>
      </c>
      <c r="I201" s="3">
        <v>247</v>
      </c>
      <c r="J201" s="3">
        <v>34</v>
      </c>
      <c r="K201" s="3">
        <v>747</v>
      </c>
      <c r="L201">
        <f t="shared" ref="L201:L210" si="8">I201-K201</f>
        <v>-500</v>
      </c>
    </row>
    <row r="202" spans="1:12" x14ac:dyDescent="0.3">
      <c r="A202" s="41">
        <v>45717</v>
      </c>
      <c r="B202">
        <v>2025</v>
      </c>
      <c r="C202">
        <v>3</v>
      </c>
      <c r="D202" t="s">
        <v>87</v>
      </c>
      <c r="E202" t="s">
        <v>88</v>
      </c>
      <c r="F202" s="3">
        <v>202</v>
      </c>
      <c r="G202" s="3" t="s">
        <v>45</v>
      </c>
      <c r="H202" s="3">
        <v>4238</v>
      </c>
      <c r="I202" s="3">
        <v>15750</v>
      </c>
      <c r="J202" s="3">
        <v>365</v>
      </c>
      <c r="K202" s="3">
        <v>2250</v>
      </c>
      <c r="L202">
        <f t="shared" si="8"/>
        <v>13500</v>
      </c>
    </row>
    <row r="203" spans="1:12" x14ac:dyDescent="0.3">
      <c r="A203" s="41">
        <v>45717</v>
      </c>
      <c r="B203">
        <v>2025</v>
      </c>
      <c r="C203">
        <v>3</v>
      </c>
      <c r="D203" t="s">
        <v>87</v>
      </c>
      <c r="E203" t="s">
        <v>88</v>
      </c>
      <c r="F203" s="3">
        <v>401</v>
      </c>
      <c r="G203" s="3" t="s">
        <v>7</v>
      </c>
      <c r="H203" s="3">
        <v>5256</v>
      </c>
      <c r="I203" s="3">
        <v>3981</v>
      </c>
      <c r="J203" s="3">
        <v>1138</v>
      </c>
      <c r="K203" s="3">
        <v>1575</v>
      </c>
      <c r="L203">
        <f t="shared" si="8"/>
        <v>2406</v>
      </c>
    </row>
    <row r="204" spans="1:12" x14ac:dyDescent="0.3">
      <c r="A204" s="41">
        <v>45717</v>
      </c>
      <c r="B204">
        <v>2025</v>
      </c>
      <c r="C204">
        <v>3</v>
      </c>
      <c r="D204" t="s">
        <v>87</v>
      </c>
      <c r="E204" t="s">
        <v>88</v>
      </c>
      <c r="F204" s="3">
        <v>402</v>
      </c>
      <c r="G204" s="3" t="s">
        <v>8</v>
      </c>
      <c r="H204" s="3">
        <v>9459</v>
      </c>
      <c r="I204" s="3">
        <v>24033</v>
      </c>
      <c r="J204" s="3">
        <v>443</v>
      </c>
      <c r="K204" s="3">
        <v>1699</v>
      </c>
      <c r="L204">
        <f t="shared" si="8"/>
        <v>22334</v>
      </c>
    </row>
    <row r="205" spans="1:12" x14ac:dyDescent="0.3">
      <c r="A205" s="41">
        <v>45717</v>
      </c>
      <c r="B205">
        <v>2025</v>
      </c>
      <c r="C205">
        <v>3</v>
      </c>
      <c r="D205" t="s">
        <v>87</v>
      </c>
      <c r="E205" t="s">
        <v>88</v>
      </c>
      <c r="F205" s="3">
        <v>403</v>
      </c>
      <c r="G205" s="3" t="s">
        <v>23</v>
      </c>
      <c r="H205" s="3">
        <v>1274</v>
      </c>
      <c r="I205" s="3">
        <v>1882</v>
      </c>
      <c r="J205" s="3">
        <v>2494</v>
      </c>
      <c r="K205" s="3">
        <v>4995</v>
      </c>
      <c r="L205">
        <f t="shared" si="8"/>
        <v>-3113</v>
      </c>
    </row>
    <row r="206" spans="1:12" x14ac:dyDescent="0.3">
      <c r="A206" s="41">
        <v>45717</v>
      </c>
      <c r="B206">
        <v>2025</v>
      </c>
      <c r="C206">
        <v>3</v>
      </c>
      <c r="D206" t="s">
        <v>87</v>
      </c>
      <c r="E206" t="s">
        <v>88</v>
      </c>
      <c r="F206" s="3">
        <v>404</v>
      </c>
      <c r="G206" s="3" t="s">
        <v>9</v>
      </c>
      <c r="H206" s="3">
        <v>4779</v>
      </c>
      <c r="I206" s="3">
        <v>4390</v>
      </c>
      <c r="J206" s="3">
        <v>669</v>
      </c>
      <c r="K206" s="3">
        <v>1229</v>
      </c>
      <c r="L206">
        <f t="shared" si="8"/>
        <v>3161</v>
      </c>
    </row>
    <row r="207" spans="1:12" x14ac:dyDescent="0.3">
      <c r="A207" s="41">
        <v>45717</v>
      </c>
      <c r="B207">
        <v>2025</v>
      </c>
      <c r="C207">
        <v>3</v>
      </c>
      <c r="D207" t="s">
        <v>87</v>
      </c>
      <c r="E207" t="s">
        <v>88</v>
      </c>
      <c r="F207" s="3">
        <v>405</v>
      </c>
      <c r="G207" s="3" t="s">
        <v>10</v>
      </c>
      <c r="H207" s="3">
        <v>3162</v>
      </c>
      <c r="I207" s="3">
        <v>23001</v>
      </c>
      <c r="J207" s="3">
        <v>348</v>
      </c>
      <c r="K207" s="3">
        <v>3405</v>
      </c>
      <c r="L207">
        <f t="shared" si="8"/>
        <v>19596</v>
      </c>
    </row>
    <row r="208" spans="1:12" x14ac:dyDescent="0.3">
      <c r="A208" s="41">
        <v>45717</v>
      </c>
      <c r="B208">
        <v>2025</v>
      </c>
      <c r="C208">
        <v>3</v>
      </c>
      <c r="D208" t="s">
        <v>87</v>
      </c>
      <c r="E208" t="s">
        <v>88</v>
      </c>
      <c r="F208" s="3">
        <v>406</v>
      </c>
      <c r="G208" s="3" t="s">
        <v>11</v>
      </c>
      <c r="H208" s="3">
        <v>3182</v>
      </c>
      <c r="I208" s="3">
        <v>14701</v>
      </c>
      <c r="J208" s="3">
        <v>10008</v>
      </c>
      <c r="K208" s="3">
        <v>60738</v>
      </c>
      <c r="L208">
        <f t="shared" si="8"/>
        <v>-46037</v>
      </c>
    </row>
    <row r="209" spans="1:12" x14ac:dyDescent="0.3">
      <c r="A209" s="41">
        <v>45717</v>
      </c>
      <c r="B209">
        <v>2025</v>
      </c>
      <c r="C209">
        <v>3</v>
      </c>
      <c r="D209" t="s">
        <v>87</v>
      </c>
      <c r="E209" t="s">
        <v>88</v>
      </c>
      <c r="F209" s="3">
        <v>2105</v>
      </c>
      <c r="G209" s="3" t="s">
        <v>25</v>
      </c>
      <c r="H209" s="3">
        <v>2888</v>
      </c>
      <c r="I209" s="3">
        <v>10254</v>
      </c>
      <c r="J209" s="3">
        <v>253</v>
      </c>
      <c r="K209" s="3">
        <v>1503</v>
      </c>
      <c r="L209">
        <f t="shared" si="8"/>
        <v>8751</v>
      </c>
    </row>
    <row r="210" spans="1:12" x14ac:dyDescent="0.3">
      <c r="A210" s="41">
        <v>45717</v>
      </c>
      <c r="B210">
        <v>2025</v>
      </c>
      <c r="C210">
        <v>3</v>
      </c>
      <c r="D210" t="s">
        <v>87</v>
      </c>
      <c r="E210" t="s">
        <v>88</v>
      </c>
      <c r="F210" s="3">
        <v>3501</v>
      </c>
      <c r="G210" s="3" t="s">
        <v>26</v>
      </c>
      <c r="H210" s="3">
        <v>1147</v>
      </c>
      <c r="I210" s="3">
        <v>7528</v>
      </c>
      <c r="J210" s="3">
        <v>19</v>
      </c>
      <c r="K210" s="3">
        <v>105</v>
      </c>
      <c r="L210">
        <f t="shared" si="8"/>
        <v>7423</v>
      </c>
    </row>
    <row r="211" spans="1:12" x14ac:dyDescent="0.3">
      <c r="A211" s="41">
        <v>46113</v>
      </c>
      <c r="B211">
        <v>2026</v>
      </c>
      <c r="C211">
        <v>4</v>
      </c>
      <c r="D211" t="s">
        <v>95</v>
      </c>
      <c r="E211" t="s">
        <v>96</v>
      </c>
      <c r="F211" s="3">
        <v>102</v>
      </c>
      <c r="G211" s="3" t="s">
        <v>43</v>
      </c>
      <c r="H211" s="3">
        <v>7264</v>
      </c>
      <c r="I211" s="3">
        <v>15790</v>
      </c>
      <c r="J211" s="3">
        <v>0</v>
      </c>
      <c r="K211" s="3">
        <v>0</v>
      </c>
      <c r="L211">
        <f t="shared" ref="L211:L221" si="9">I211-K211</f>
        <v>15790</v>
      </c>
    </row>
    <row r="212" spans="1:12" x14ac:dyDescent="0.3">
      <c r="A212" s="41">
        <v>46113</v>
      </c>
      <c r="B212">
        <v>2026</v>
      </c>
      <c r="C212">
        <v>4</v>
      </c>
      <c r="D212" t="s">
        <v>95</v>
      </c>
      <c r="E212" t="s">
        <v>96</v>
      </c>
      <c r="F212" s="3">
        <v>201</v>
      </c>
      <c r="G212" s="3" t="s">
        <v>44</v>
      </c>
      <c r="H212" s="3">
        <v>1343</v>
      </c>
      <c r="I212" s="3">
        <v>10571</v>
      </c>
      <c r="J212" s="3">
        <v>49</v>
      </c>
      <c r="K212" s="3">
        <v>1308</v>
      </c>
      <c r="L212">
        <f t="shared" si="9"/>
        <v>9263</v>
      </c>
    </row>
    <row r="213" spans="1:12" x14ac:dyDescent="0.3">
      <c r="A213" s="41">
        <v>46113</v>
      </c>
      <c r="B213">
        <v>2026</v>
      </c>
      <c r="C213">
        <v>4</v>
      </c>
      <c r="D213" t="s">
        <v>95</v>
      </c>
      <c r="E213" t="s">
        <v>96</v>
      </c>
      <c r="F213" s="3">
        <v>202</v>
      </c>
      <c r="G213" s="3" t="s">
        <v>45</v>
      </c>
      <c r="H213" s="3">
        <v>5699</v>
      </c>
      <c r="I213" s="3">
        <v>25948</v>
      </c>
      <c r="J213" s="3">
        <v>297</v>
      </c>
      <c r="K213" s="3">
        <v>2266</v>
      </c>
      <c r="L213">
        <f t="shared" si="9"/>
        <v>23682</v>
      </c>
    </row>
    <row r="214" spans="1:12" x14ac:dyDescent="0.3">
      <c r="A214" s="41">
        <v>46113</v>
      </c>
      <c r="B214">
        <v>2026</v>
      </c>
      <c r="C214">
        <v>4</v>
      </c>
      <c r="D214" t="s">
        <v>95</v>
      </c>
      <c r="E214" t="s">
        <v>96</v>
      </c>
      <c r="F214" s="3">
        <v>401</v>
      </c>
      <c r="G214" s="3" t="s">
        <v>7</v>
      </c>
      <c r="H214" s="3">
        <v>7232</v>
      </c>
      <c r="I214" s="3">
        <v>6170</v>
      </c>
      <c r="J214" s="3">
        <v>1170</v>
      </c>
      <c r="K214" s="3">
        <v>1907</v>
      </c>
      <c r="L214">
        <f t="shared" si="9"/>
        <v>4263</v>
      </c>
    </row>
    <row r="215" spans="1:12" x14ac:dyDescent="0.3">
      <c r="A215" s="41">
        <v>46113</v>
      </c>
      <c r="B215">
        <v>2026</v>
      </c>
      <c r="C215">
        <v>4</v>
      </c>
      <c r="D215" t="s">
        <v>95</v>
      </c>
      <c r="E215" t="s">
        <v>96</v>
      </c>
      <c r="F215" s="3">
        <v>402</v>
      </c>
      <c r="G215" s="3" t="s">
        <v>8</v>
      </c>
      <c r="H215" s="3">
        <v>12066</v>
      </c>
      <c r="I215" s="3">
        <v>30108</v>
      </c>
      <c r="J215" s="3">
        <v>465</v>
      </c>
      <c r="K215" s="3">
        <v>1637</v>
      </c>
      <c r="L215">
        <f t="shared" si="9"/>
        <v>28471</v>
      </c>
    </row>
    <row r="216" spans="1:12" x14ac:dyDescent="0.3">
      <c r="A216" s="41">
        <v>46113</v>
      </c>
      <c r="B216">
        <v>2026</v>
      </c>
      <c r="C216">
        <v>4</v>
      </c>
      <c r="D216" t="s">
        <v>95</v>
      </c>
      <c r="E216" t="s">
        <v>96</v>
      </c>
      <c r="F216" s="3">
        <v>403</v>
      </c>
      <c r="G216" s="3" t="s">
        <v>23</v>
      </c>
      <c r="H216" s="3">
        <v>2267</v>
      </c>
      <c r="I216" s="3">
        <v>3443</v>
      </c>
      <c r="J216" s="3">
        <v>3157</v>
      </c>
      <c r="K216" s="3">
        <v>7457</v>
      </c>
      <c r="L216">
        <f t="shared" si="9"/>
        <v>-4014</v>
      </c>
    </row>
    <row r="217" spans="1:12" x14ac:dyDescent="0.3">
      <c r="A217" s="41">
        <v>46113</v>
      </c>
      <c r="B217">
        <v>2026</v>
      </c>
      <c r="C217">
        <v>4</v>
      </c>
      <c r="D217" t="s">
        <v>95</v>
      </c>
      <c r="E217" t="s">
        <v>96</v>
      </c>
      <c r="F217" s="3">
        <v>404</v>
      </c>
      <c r="G217" s="3" t="s">
        <v>9</v>
      </c>
      <c r="H217" s="3">
        <v>5958</v>
      </c>
      <c r="I217" s="3">
        <v>6985</v>
      </c>
      <c r="J217" s="3">
        <v>2387</v>
      </c>
      <c r="K217" s="3">
        <v>5078</v>
      </c>
      <c r="L217">
        <f t="shared" si="9"/>
        <v>1907</v>
      </c>
    </row>
    <row r="218" spans="1:12" x14ac:dyDescent="0.3">
      <c r="A218" s="41">
        <v>46113</v>
      </c>
      <c r="B218">
        <v>2026</v>
      </c>
      <c r="C218">
        <v>4</v>
      </c>
      <c r="D218" t="s">
        <v>95</v>
      </c>
      <c r="E218" t="s">
        <v>96</v>
      </c>
      <c r="F218" s="3">
        <v>405</v>
      </c>
      <c r="G218" s="3" t="s">
        <v>10</v>
      </c>
      <c r="H218" s="3">
        <v>3353</v>
      </c>
      <c r="I218" s="3">
        <v>19533</v>
      </c>
      <c r="J218" s="3">
        <v>893</v>
      </c>
      <c r="K218" s="3">
        <v>5873</v>
      </c>
      <c r="L218">
        <f t="shared" si="9"/>
        <v>13660</v>
      </c>
    </row>
    <row r="219" spans="1:12" x14ac:dyDescent="0.3">
      <c r="A219" s="41">
        <v>46113</v>
      </c>
      <c r="B219">
        <v>2026</v>
      </c>
      <c r="C219">
        <v>4</v>
      </c>
      <c r="D219" t="s">
        <v>95</v>
      </c>
      <c r="E219" t="s">
        <v>96</v>
      </c>
      <c r="F219" s="3">
        <v>406</v>
      </c>
      <c r="G219" s="3" t="s">
        <v>11</v>
      </c>
      <c r="H219" s="3">
        <v>4750</v>
      </c>
      <c r="I219" s="3">
        <v>21576</v>
      </c>
      <c r="J219" s="3">
        <v>14203</v>
      </c>
      <c r="K219" s="3">
        <v>87767</v>
      </c>
      <c r="L219">
        <f t="shared" si="9"/>
        <v>-66191</v>
      </c>
    </row>
    <row r="220" spans="1:12" x14ac:dyDescent="0.3">
      <c r="A220" s="41">
        <v>46113</v>
      </c>
      <c r="B220">
        <v>2026</v>
      </c>
      <c r="C220">
        <v>4</v>
      </c>
      <c r="D220" t="s">
        <v>95</v>
      </c>
      <c r="E220" t="s">
        <v>96</v>
      </c>
      <c r="F220" s="3">
        <v>2105</v>
      </c>
      <c r="G220" s="3" t="s">
        <v>94</v>
      </c>
      <c r="H220" s="3">
        <v>4262</v>
      </c>
      <c r="I220" s="3">
        <v>15906</v>
      </c>
      <c r="J220" s="3">
        <v>260</v>
      </c>
      <c r="K220" s="3">
        <v>1316</v>
      </c>
      <c r="L220">
        <f t="shared" si="9"/>
        <v>14590</v>
      </c>
    </row>
    <row r="221" spans="1:12" x14ac:dyDescent="0.3">
      <c r="A221" s="41">
        <v>46113</v>
      </c>
      <c r="B221">
        <v>2026</v>
      </c>
      <c r="C221">
        <v>4</v>
      </c>
      <c r="D221" t="s">
        <v>95</v>
      </c>
      <c r="E221" t="s">
        <v>96</v>
      </c>
      <c r="F221" s="3">
        <v>3501</v>
      </c>
      <c r="G221" s="3" t="s">
        <v>26</v>
      </c>
      <c r="H221" s="3">
        <v>1426</v>
      </c>
      <c r="I221" s="3">
        <v>9191</v>
      </c>
      <c r="J221" s="3">
        <v>37</v>
      </c>
      <c r="K221" s="3">
        <v>241</v>
      </c>
      <c r="L221">
        <f t="shared" si="9"/>
        <v>8950</v>
      </c>
    </row>
    <row r="222" spans="1:12" x14ac:dyDescent="0.3">
      <c r="A222" s="41">
        <v>45748</v>
      </c>
      <c r="B222">
        <v>2025</v>
      </c>
      <c r="C222">
        <v>4</v>
      </c>
      <c r="D222" t="s">
        <v>95</v>
      </c>
      <c r="E222" t="s">
        <v>97</v>
      </c>
      <c r="F222" s="3">
        <v>102</v>
      </c>
      <c r="G222" s="3" t="s">
        <v>43</v>
      </c>
      <c r="H222" s="3">
        <v>7097</v>
      </c>
      <c r="I222" s="3">
        <v>15964</v>
      </c>
      <c r="J222" s="3">
        <v>7</v>
      </c>
      <c r="K222" s="3">
        <v>41</v>
      </c>
      <c r="L222">
        <f>I222-K222</f>
        <v>15923</v>
      </c>
    </row>
    <row r="223" spans="1:12" x14ac:dyDescent="0.3">
      <c r="A223" s="41">
        <v>45748</v>
      </c>
      <c r="B223">
        <v>2025</v>
      </c>
      <c r="C223">
        <v>4</v>
      </c>
      <c r="D223" t="s">
        <v>95</v>
      </c>
      <c r="E223" t="s">
        <v>97</v>
      </c>
      <c r="F223" s="3">
        <v>201</v>
      </c>
      <c r="G223" s="3" t="s">
        <v>44</v>
      </c>
      <c r="H223" s="3">
        <v>45</v>
      </c>
      <c r="I223" s="3">
        <v>271</v>
      </c>
      <c r="J223" s="3">
        <v>50</v>
      </c>
      <c r="K223" s="3">
        <v>1124</v>
      </c>
      <c r="L223">
        <f t="shared" ref="L223:L224" si="10">I223-K223</f>
        <v>-853</v>
      </c>
    </row>
    <row r="224" spans="1:12" x14ac:dyDescent="0.3">
      <c r="A224" s="41">
        <v>45748</v>
      </c>
      <c r="B224">
        <v>2025</v>
      </c>
      <c r="C224">
        <v>4</v>
      </c>
      <c r="D224" t="s">
        <v>95</v>
      </c>
      <c r="E224" t="s">
        <v>97</v>
      </c>
      <c r="F224" s="3">
        <v>202</v>
      </c>
      <c r="G224" s="3" t="s">
        <v>45</v>
      </c>
      <c r="H224" s="3">
        <v>6051</v>
      </c>
      <c r="I224" s="3">
        <v>22921</v>
      </c>
      <c r="J224" s="3">
        <v>567</v>
      </c>
      <c r="K224" s="3">
        <v>3933</v>
      </c>
      <c r="L224">
        <f t="shared" si="10"/>
        <v>18988</v>
      </c>
    </row>
    <row r="225" spans="1:12" x14ac:dyDescent="0.3">
      <c r="A225" s="41">
        <v>45748</v>
      </c>
      <c r="B225">
        <v>2025</v>
      </c>
      <c r="C225">
        <v>4</v>
      </c>
      <c r="D225" t="s">
        <v>95</v>
      </c>
      <c r="E225" t="s">
        <v>97</v>
      </c>
      <c r="F225" s="3">
        <v>401</v>
      </c>
      <c r="G225" s="3" t="s">
        <v>7</v>
      </c>
      <c r="H225" s="3">
        <v>6501</v>
      </c>
      <c r="I225" s="3">
        <v>5089</v>
      </c>
      <c r="J225" s="3">
        <v>1258</v>
      </c>
      <c r="K225" s="3">
        <v>1897</v>
      </c>
      <c r="L225">
        <f t="shared" ref="L225:L232" si="11">I225-K225</f>
        <v>3192</v>
      </c>
    </row>
    <row r="226" spans="1:12" x14ac:dyDescent="0.3">
      <c r="A226" s="41">
        <v>45748</v>
      </c>
      <c r="B226">
        <v>2025</v>
      </c>
      <c r="C226">
        <v>4</v>
      </c>
      <c r="D226" t="s">
        <v>95</v>
      </c>
      <c r="E226" t="s">
        <v>97</v>
      </c>
      <c r="F226" s="3">
        <v>402</v>
      </c>
      <c r="G226" s="3" t="s">
        <v>8</v>
      </c>
      <c r="H226" s="3">
        <v>13302</v>
      </c>
      <c r="I226" s="3">
        <v>33908</v>
      </c>
      <c r="J226" s="3">
        <v>558</v>
      </c>
      <c r="K226" s="3">
        <v>2147</v>
      </c>
      <c r="L226">
        <f t="shared" si="11"/>
        <v>31761</v>
      </c>
    </row>
    <row r="227" spans="1:12" x14ac:dyDescent="0.3">
      <c r="A227" s="41">
        <v>45748</v>
      </c>
      <c r="B227">
        <v>2025</v>
      </c>
      <c r="C227">
        <v>4</v>
      </c>
      <c r="D227" t="s">
        <v>95</v>
      </c>
      <c r="E227" t="s">
        <v>97</v>
      </c>
      <c r="F227" s="3">
        <v>403</v>
      </c>
      <c r="G227" s="3" t="s">
        <v>23</v>
      </c>
      <c r="H227" s="3">
        <v>1753</v>
      </c>
      <c r="I227" s="3">
        <v>2607</v>
      </c>
      <c r="J227" s="3">
        <v>3308</v>
      </c>
      <c r="K227" s="3">
        <v>6648</v>
      </c>
      <c r="L227">
        <f t="shared" si="11"/>
        <v>-4041</v>
      </c>
    </row>
    <row r="228" spans="1:12" x14ac:dyDescent="0.3">
      <c r="A228" s="41">
        <v>45748</v>
      </c>
      <c r="B228">
        <v>2025</v>
      </c>
      <c r="C228">
        <v>4</v>
      </c>
      <c r="D228" t="s">
        <v>95</v>
      </c>
      <c r="E228" t="s">
        <v>97</v>
      </c>
      <c r="F228" s="3">
        <v>404</v>
      </c>
      <c r="G228" s="3" t="s">
        <v>9</v>
      </c>
      <c r="H228" s="3">
        <v>6218</v>
      </c>
      <c r="I228" s="3">
        <v>5718</v>
      </c>
      <c r="J228" s="3">
        <v>1156</v>
      </c>
      <c r="K228" s="3">
        <v>2258</v>
      </c>
      <c r="L228">
        <f t="shared" si="11"/>
        <v>3460</v>
      </c>
    </row>
    <row r="229" spans="1:12" x14ac:dyDescent="0.3">
      <c r="A229" s="41">
        <v>45748</v>
      </c>
      <c r="B229">
        <v>2025</v>
      </c>
      <c r="C229">
        <v>4</v>
      </c>
      <c r="D229" t="s">
        <v>95</v>
      </c>
      <c r="E229" t="s">
        <v>97</v>
      </c>
      <c r="F229" s="3">
        <v>405</v>
      </c>
      <c r="G229" s="3" t="s">
        <v>10</v>
      </c>
      <c r="H229" s="3">
        <v>4958</v>
      </c>
      <c r="I229" s="3">
        <v>35723</v>
      </c>
      <c r="J229" s="3">
        <v>425</v>
      </c>
      <c r="K229" s="3">
        <v>4209</v>
      </c>
      <c r="L229">
        <f t="shared" si="11"/>
        <v>31514</v>
      </c>
    </row>
    <row r="230" spans="1:12" x14ac:dyDescent="0.3">
      <c r="A230" s="41">
        <v>45748</v>
      </c>
      <c r="B230">
        <v>2025</v>
      </c>
      <c r="C230">
        <v>4</v>
      </c>
      <c r="D230" t="s">
        <v>95</v>
      </c>
      <c r="E230" t="s">
        <v>97</v>
      </c>
      <c r="F230" s="3">
        <v>406</v>
      </c>
      <c r="G230" s="3" t="s">
        <v>11</v>
      </c>
      <c r="H230" s="3">
        <v>4449</v>
      </c>
      <c r="I230" s="3">
        <v>20590</v>
      </c>
      <c r="J230" s="3">
        <v>13363</v>
      </c>
      <c r="K230" s="3">
        <v>82491</v>
      </c>
      <c r="L230">
        <f t="shared" si="11"/>
        <v>-61901</v>
      </c>
    </row>
    <row r="231" spans="1:12" x14ac:dyDescent="0.3">
      <c r="A231" s="41">
        <v>45748</v>
      </c>
      <c r="B231">
        <v>2025</v>
      </c>
      <c r="C231">
        <v>4</v>
      </c>
      <c r="D231" t="s">
        <v>95</v>
      </c>
      <c r="E231" t="s">
        <v>97</v>
      </c>
      <c r="F231" s="3">
        <v>2105</v>
      </c>
      <c r="G231" s="3" t="s">
        <v>94</v>
      </c>
      <c r="H231" s="3">
        <v>4792</v>
      </c>
      <c r="I231" s="3">
        <v>17343</v>
      </c>
      <c r="J231" s="3">
        <v>468</v>
      </c>
      <c r="K231" s="3">
        <v>2551</v>
      </c>
      <c r="L231">
        <f t="shared" si="11"/>
        <v>14792</v>
      </c>
    </row>
    <row r="232" spans="1:12" x14ac:dyDescent="0.3">
      <c r="A232" s="41">
        <v>45748</v>
      </c>
      <c r="B232">
        <v>2025</v>
      </c>
      <c r="C232">
        <v>4</v>
      </c>
      <c r="D232" t="s">
        <v>95</v>
      </c>
      <c r="E232" t="s">
        <v>97</v>
      </c>
      <c r="F232" s="3">
        <v>3501</v>
      </c>
      <c r="G232" s="3" t="s">
        <v>26</v>
      </c>
      <c r="H232" s="3">
        <v>1536</v>
      </c>
      <c r="I232" s="3">
        <v>10051</v>
      </c>
      <c r="J232" s="3">
        <v>19</v>
      </c>
      <c r="K232" s="3">
        <v>107</v>
      </c>
      <c r="L232">
        <f t="shared" si="11"/>
        <v>9944</v>
      </c>
    </row>
    <row r="233" spans="1:12" x14ac:dyDescent="0.3">
      <c r="A233" s="41">
        <v>46143</v>
      </c>
      <c r="B233">
        <v>2026</v>
      </c>
      <c r="C233">
        <v>5</v>
      </c>
      <c r="D233" t="s">
        <v>101</v>
      </c>
      <c r="E233" t="s">
        <v>100</v>
      </c>
      <c r="F233" s="3">
        <v>102</v>
      </c>
      <c r="G233" s="3" t="s">
        <v>43</v>
      </c>
      <c r="H233" s="3">
        <v>9315</v>
      </c>
      <c r="I233" s="3">
        <v>20950</v>
      </c>
      <c r="J233" s="3">
        <v>65</v>
      </c>
      <c r="K233" s="3">
        <v>569</v>
      </c>
      <c r="L233">
        <f t="shared" ref="L233:L243" si="12">I233-K233</f>
        <v>20381</v>
      </c>
    </row>
    <row r="234" spans="1:12" x14ac:dyDescent="0.3">
      <c r="A234" s="41">
        <v>46143</v>
      </c>
      <c r="B234">
        <v>2026</v>
      </c>
      <c r="C234">
        <v>5</v>
      </c>
      <c r="D234" t="s">
        <v>101</v>
      </c>
      <c r="E234" t="s">
        <v>100</v>
      </c>
      <c r="F234" s="3">
        <v>201</v>
      </c>
      <c r="G234" s="3" t="s">
        <v>44</v>
      </c>
      <c r="H234" s="3">
        <v>1780</v>
      </c>
      <c r="I234" s="3">
        <v>13992</v>
      </c>
      <c r="J234" s="3">
        <v>62</v>
      </c>
      <c r="K234" s="3">
        <v>1686</v>
      </c>
      <c r="L234">
        <f t="shared" si="12"/>
        <v>12306</v>
      </c>
    </row>
    <row r="235" spans="1:12" x14ac:dyDescent="0.3">
      <c r="A235" s="41">
        <v>46143</v>
      </c>
      <c r="B235">
        <v>2026</v>
      </c>
      <c r="C235">
        <v>5</v>
      </c>
      <c r="D235" t="s">
        <v>101</v>
      </c>
      <c r="E235" t="s">
        <v>100</v>
      </c>
      <c r="F235" s="3">
        <v>202</v>
      </c>
      <c r="G235" s="3" t="s">
        <v>45</v>
      </c>
      <c r="H235" s="3">
        <v>7526</v>
      </c>
      <c r="I235" s="3">
        <v>34037</v>
      </c>
      <c r="J235" s="3">
        <v>431</v>
      </c>
      <c r="K235" s="3">
        <v>3212</v>
      </c>
      <c r="L235">
        <f t="shared" si="12"/>
        <v>30825</v>
      </c>
    </row>
    <row r="236" spans="1:12" x14ac:dyDescent="0.3">
      <c r="A236" s="41">
        <v>46143</v>
      </c>
      <c r="B236">
        <v>2026</v>
      </c>
      <c r="C236">
        <v>5</v>
      </c>
      <c r="D236" t="s">
        <v>101</v>
      </c>
      <c r="E236" t="s">
        <v>100</v>
      </c>
      <c r="F236" s="3">
        <v>401</v>
      </c>
      <c r="G236" s="3" t="s">
        <v>7</v>
      </c>
      <c r="H236" s="3">
        <v>8280</v>
      </c>
      <c r="I236" s="3">
        <v>7189</v>
      </c>
      <c r="J236" s="3">
        <v>2367</v>
      </c>
      <c r="K236" s="3">
        <v>3444</v>
      </c>
      <c r="L236">
        <f t="shared" si="12"/>
        <v>3745</v>
      </c>
    </row>
    <row r="237" spans="1:12" x14ac:dyDescent="0.3">
      <c r="A237" s="41">
        <v>46143</v>
      </c>
      <c r="B237">
        <v>2026</v>
      </c>
      <c r="C237">
        <v>5</v>
      </c>
      <c r="D237" t="s">
        <v>101</v>
      </c>
      <c r="E237" t="s">
        <v>100</v>
      </c>
      <c r="F237" s="3">
        <v>402</v>
      </c>
      <c r="G237" s="3" t="s">
        <v>8</v>
      </c>
      <c r="H237" s="3">
        <v>15709</v>
      </c>
      <c r="I237" s="3">
        <v>40317</v>
      </c>
      <c r="J237" s="3">
        <v>603</v>
      </c>
      <c r="K237" s="3">
        <v>2046</v>
      </c>
      <c r="L237">
        <f t="shared" si="12"/>
        <v>38271</v>
      </c>
    </row>
    <row r="238" spans="1:12" x14ac:dyDescent="0.3">
      <c r="A238" s="41">
        <v>46143</v>
      </c>
      <c r="B238">
        <v>2026</v>
      </c>
      <c r="C238">
        <v>5</v>
      </c>
      <c r="D238" t="s">
        <v>101</v>
      </c>
      <c r="E238" t="s">
        <v>100</v>
      </c>
      <c r="F238" s="3">
        <v>403</v>
      </c>
      <c r="G238" s="3" t="s">
        <v>23</v>
      </c>
      <c r="H238" s="3">
        <v>2864</v>
      </c>
      <c r="I238" s="3">
        <v>4297</v>
      </c>
      <c r="J238" s="3">
        <v>4297</v>
      </c>
      <c r="K238" s="3">
        <v>9979</v>
      </c>
      <c r="L238">
        <f t="shared" si="12"/>
        <v>-5682</v>
      </c>
    </row>
    <row r="239" spans="1:12" x14ac:dyDescent="0.3">
      <c r="A239" s="41">
        <v>46143</v>
      </c>
      <c r="B239">
        <v>2026</v>
      </c>
      <c r="C239">
        <v>5</v>
      </c>
      <c r="D239" t="s">
        <v>101</v>
      </c>
      <c r="E239" t="s">
        <v>100</v>
      </c>
      <c r="F239" s="3">
        <v>404</v>
      </c>
      <c r="G239" s="3" t="s">
        <v>9</v>
      </c>
      <c r="H239" s="3">
        <v>7345</v>
      </c>
      <c r="I239" s="3">
        <v>8962</v>
      </c>
      <c r="J239" s="3">
        <v>2965</v>
      </c>
      <c r="K239" s="3">
        <v>6436</v>
      </c>
      <c r="L239">
        <f t="shared" si="12"/>
        <v>2526</v>
      </c>
    </row>
    <row r="240" spans="1:12" x14ac:dyDescent="0.3">
      <c r="A240" s="41">
        <v>46143</v>
      </c>
      <c r="B240">
        <v>2026</v>
      </c>
      <c r="C240">
        <v>5</v>
      </c>
      <c r="D240" t="s">
        <v>101</v>
      </c>
      <c r="E240" t="s">
        <v>100</v>
      </c>
      <c r="F240" s="3">
        <v>405</v>
      </c>
      <c r="G240" s="3" t="s">
        <v>10</v>
      </c>
      <c r="H240" s="3">
        <v>3840</v>
      </c>
      <c r="I240" s="3">
        <v>22290</v>
      </c>
      <c r="J240" s="3">
        <v>1163</v>
      </c>
      <c r="K240" s="3">
        <v>7471</v>
      </c>
      <c r="L240">
        <f t="shared" si="12"/>
        <v>14819</v>
      </c>
    </row>
    <row r="241" spans="1:12" x14ac:dyDescent="0.3">
      <c r="A241" s="41">
        <v>46143</v>
      </c>
      <c r="B241">
        <v>2026</v>
      </c>
      <c r="C241">
        <v>5</v>
      </c>
      <c r="D241" t="s">
        <v>101</v>
      </c>
      <c r="E241" t="s">
        <v>100</v>
      </c>
      <c r="F241" s="3">
        <v>406</v>
      </c>
      <c r="G241" s="3" t="s">
        <v>11</v>
      </c>
      <c r="H241" s="3">
        <v>5991</v>
      </c>
      <c r="I241" s="3">
        <v>27393</v>
      </c>
      <c r="J241" s="3">
        <v>18501</v>
      </c>
      <c r="K241" s="3">
        <v>112987</v>
      </c>
      <c r="L241">
        <f t="shared" si="12"/>
        <v>-85594</v>
      </c>
    </row>
    <row r="242" spans="1:12" x14ac:dyDescent="0.3">
      <c r="A242" s="41">
        <v>46143</v>
      </c>
      <c r="B242">
        <v>2026</v>
      </c>
      <c r="C242">
        <v>5</v>
      </c>
      <c r="D242" t="s">
        <v>101</v>
      </c>
      <c r="E242" t="s">
        <v>100</v>
      </c>
      <c r="F242" s="3">
        <v>2105</v>
      </c>
      <c r="G242" s="3" t="s">
        <v>94</v>
      </c>
      <c r="H242" s="3">
        <v>6509</v>
      </c>
      <c r="I242" s="3">
        <v>24299</v>
      </c>
      <c r="J242" s="3">
        <v>549</v>
      </c>
      <c r="K242" s="3">
        <v>2654</v>
      </c>
      <c r="L242">
        <f t="shared" si="12"/>
        <v>21645</v>
      </c>
    </row>
    <row r="243" spans="1:12" x14ac:dyDescent="0.3">
      <c r="A243" s="41">
        <v>46143</v>
      </c>
      <c r="B243">
        <v>2026</v>
      </c>
      <c r="C243">
        <v>5</v>
      </c>
      <c r="D243" t="s">
        <v>101</v>
      </c>
      <c r="E243" t="s">
        <v>100</v>
      </c>
      <c r="F243" s="3">
        <v>3501</v>
      </c>
      <c r="G243" s="3" t="s">
        <v>26</v>
      </c>
      <c r="H243" s="3">
        <v>1713</v>
      </c>
      <c r="I243" s="3">
        <v>11064</v>
      </c>
      <c r="J243" s="3">
        <v>52</v>
      </c>
      <c r="K243" s="3">
        <v>336</v>
      </c>
      <c r="L243">
        <f t="shared" si="12"/>
        <v>10728</v>
      </c>
    </row>
    <row r="244" spans="1:12" x14ac:dyDescent="0.3">
      <c r="A244" s="41">
        <v>45778</v>
      </c>
      <c r="B244">
        <v>2025</v>
      </c>
      <c r="C244">
        <v>5</v>
      </c>
      <c r="D244" t="s">
        <v>101</v>
      </c>
      <c r="E244" t="s">
        <v>102</v>
      </c>
      <c r="F244" s="3">
        <v>102</v>
      </c>
      <c r="G244" s="3" t="s">
        <v>43</v>
      </c>
      <c r="H244" s="3">
        <v>8501.4</v>
      </c>
      <c r="I244" s="3">
        <v>18855.3</v>
      </c>
      <c r="J244" s="3">
        <v>7</v>
      </c>
      <c r="K244" s="3">
        <v>41</v>
      </c>
      <c r="L244">
        <f>I244-K244</f>
        <v>18814.3</v>
      </c>
    </row>
    <row r="245" spans="1:12" x14ac:dyDescent="0.3">
      <c r="A245" s="41">
        <v>45778</v>
      </c>
      <c r="B245">
        <v>2025</v>
      </c>
      <c r="C245">
        <v>5</v>
      </c>
      <c r="D245" t="s">
        <v>101</v>
      </c>
      <c r="E245" t="s">
        <v>102</v>
      </c>
      <c r="F245" s="3">
        <v>201</v>
      </c>
      <c r="G245" s="3" t="s">
        <v>44</v>
      </c>
      <c r="H245" s="3">
        <v>65.5</v>
      </c>
      <c r="I245" s="3">
        <v>407.1</v>
      </c>
      <c r="J245" s="3">
        <v>55.8</v>
      </c>
      <c r="K245" s="3">
        <v>1263.8</v>
      </c>
      <c r="L245">
        <f t="shared" ref="L245:L246" si="13">I245-K245</f>
        <v>-856.69999999999993</v>
      </c>
    </row>
    <row r="246" spans="1:12" x14ac:dyDescent="0.3">
      <c r="A246" s="41">
        <v>45778</v>
      </c>
      <c r="B246">
        <v>2025</v>
      </c>
      <c r="C246">
        <v>5</v>
      </c>
      <c r="D246" t="s">
        <v>101</v>
      </c>
      <c r="E246" t="s">
        <v>102</v>
      </c>
      <c r="F246" s="3">
        <v>202</v>
      </c>
      <c r="G246" s="3" t="s">
        <v>45</v>
      </c>
      <c r="H246" s="3">
        <v>7969.8</v>
      </c>
      <c r="I246" s="3">
        <v>30702.6</v>
      </c>
      <c r="J246" s="3">
        <v>669.3</v>
      </c>
      <c r="K246" s="3">
        <v>4778.5</v>
      </c>
      <c r="L246">
        <f t="shared" si="13"/>
        <v>25924.1</v>
      </c>
    </row>
    <row r="247" spans="1:12" x14ac:dyDescent="0.3">
      <c r="A247" s="41">
        <v>45778</v>
      </c>
      <c r="B247">
        <v>2025</v>
      </c>
      <c r="C247">
        <v>5</v>
      </c>
      <c r="D247" t="s">
        <v>101</v>
      </c>
      <c r="E247" t="s">
        <v>102</v>
      </c>
      <c r="F247" s="3">
        <v>401</v>
      </c>
      <c r="G247" s="3" t="s">
        <v>7</v>
      </c>
      <c r="H247" s="3">
        <v>7677.7</v>
      </c>
      <c r="I247" s="3">
        <v>6070.6</v>
      </c>
      <c r="J247" s="3">
        <v>1398.8</v>
      </c>
      <c r="K247" s="3">
        <v>2161.1999999999998</v>
      </c>
      <c r="L247">
        <f t="shared" ref="L247:L254" si="14">I247-K247</f>
        <v>3909.4000000000005</v>
      </c>
    </row>
    <row r="248" spans="1:12" x14ac:dyDescent="0.3">
      <c r="A248" s="41">
        <v>45778</v>
      </c>
      <c r="B248">
        <v>2025</v>
      </c>
      <c r="C248">
        <v>5</v>
      </c>
      <c r="D248" t="s">
        <v>101</v>
      </c>
      <c r="E248" t="s">
        <v>102</v>
      </c>
      <c r="F248" s="3">
        <v>402</v>
      </c>
      <c r="G248" s="3" t="s">
        <v>8</v>
      </c>
      <c r="H248" s="3">
        <v>18345</v>
      </c>
      <c r="I248" s="3">
        <v>46894.7</v>
      </c>
      <c r="J248" s="3">
        <v>710.6</v>
      </c>
      <c r="K248" s="3">
        <v>2651.3</v>
      </c>
      <c r="L248">
        <f t="shared" si="14"/>
        <v>44243.399999999994</v>
      </c>
    </row>
    <row r="249" spans="1:12" x14ac:dyDescent="0.3">
      <c r="A249" s="41">
        <v>45778</v>
      </c>
      <c r="B249">
        <v>2025</v>
      </c>
      <c r="C249">
        <v>5</v>
      </c>
      <c r="D249" t="s">
        <v>101</v>
      </c>
      <c r="E249" t="s">
        <v>102</v>
      </c>
      <c r="F249" s="3">
        <v>403</v>
      </c>
      <c r="G249" s="3" t="s">
        <v>23</v>
      </c>
      <c r="H249" s="3">
        <v>2251.1999999999998</v>
      </c>
      <c r="I249" s="3">
        <v>3288</v>
      </c>
      <c r="J249" s="3">
        <v>4029.1</v>
      </c>
      <c r="K249" s="3">
        <v>8196.6</v>
      </c>
      <c r="L249">
        <f t="shared" si="14"/>
        <v>-4908.6000000000004</v>
      </c>
    </row>
    <row r="250" spans="1:12" x14ac:dyDescent="0.3">
      <c r="A250" s="41">
        <v>45778</v>
      </c>
      <c r="B250">
        <v>2025</v>
      </c>
      <c r="C250">
        <v>5</v>
      </c>
      <c r="D250" t="s">
        <v>101</v>
      </c>
      <c r="E250" t="s">
        <v>102</v>
      </c>
      <c r="F250" s="3">
        <v>404</v>
      </c>
      <c r="G250" s="3" t="s">
        <v>9</v>
      </c>
      <c r="H250" s="3">
        <v>7926.1</v>
      </c>
      <c r="I250" s="3">
        <v>7309.3</v>
      </c>
      <c r="J250" s="3">
        <v>1611.5</v>
      </c>
      <c r="K250" s="3">
        <v>3226.8</v>
      </c>
      <c r="L250">
        <f t="shared" si="14"/>
        <v>4082.5</v>
      </c>
    </row>
    <row r="251" spans="1:12" x14ac:dyDescent="0.3">
      <c r="A251" s="41">
        <v>45778</v>
      </c>
      <c r="B251">
        <v>2025</v>
      </c>
      <c r="C251">
        <v>5</v>
      </c>
      <c r="D251" t="s">
        <v>101</v>
      </c>
      <c r="E251" t="s">
        <v>102</v>
      </c>
      <c r="F251" s="3">
        <v>405</v>
      </c>
      <c r="G251" s="3" t="s">
        <v>10</v>
      </c>
      <c r="H251" s="3">
        <v>7857.4</v>
      </c>
      <c r="I251" s="3">
        <v>56241.4</v>
      </c>
      <c r="J251" s="3">
        <v>493.3</v>
      </c>
      <c r="K251" s="3">
        <v>4838.8999999999996</v>
      </c>
      <c r="L251">
        <f t="shared" si="14"/>
        <v>51402.5</v>
      </c>
    </row>
    <row r="252" spans="1:12" x14ac:dyDescent="0.3">
      <c r="A252" s="41">
        <v>45778</v>
      </c>
      <c r="B252">
        <v>2025</v>
      </c>
      <c r="C252">
        <v>5</v>
      </c>
      <c r="D252" t="s">
        <v>101</v>
      </c>
      <c r="E252" t="s">
        <v>102</v>
      </c>
      <c r="F252" s="3">
        <v>406</v>
      </c>
      <c r="G252" s="3" t="s">
        <v>11</v>
      </c>
      <c r="H252" s="3">
        <v>5745.1</v>
      </c>
      <c r="I252" s="3">
        <v>26611.4</v>
      </c>
      <c r="J252" s="3">
        <v>16596.3</v>
      </c>
      <c r="K252" s="3">
        <v>103372.3</v>
      </c>
      <c r="L252">
        <f t="shared" si="14"/>
        <v>-76760.899999999994</v>
      </c>
    </row>
    <row r="253" spans="1:12" x14ac:dyDescent="0.3">
      <c r="A253" s="41">
        <v>45778</v>
      </c>
      <c r="B253">
        <v>2025</v>
      </c>
      <c r="C253">
        <v>5</v>
      </c>
      <c r="D253" t="s">
        <v>101</v>
      </c>
      <c r="E253" t="s">
        <v>102</v>
      </c>
      <c r="F253" s="3">
        <v>2105</v>
      </c>
      <c r="G253" s="3" t="s">
        <v>94</v>
      </c>
      <c r="H253" s="3">
        <v>7025.9</v>
      </c>
      <c r="I253" s="3">
        <v>25383.3</v>
      </c>
      <c r="J253" s="3">
        <v>754.3</v>
      </c>
      <c r="K253" s="3">
        <v>4080.2</v>
      </c>
      <c r="L253">
        <f t="shared" si="14"/>
        <v>21303.1</v>
      </c>
    </row>
    <row r="254" spans="1:12" x14ac:dyDescent="0.3">
      <c r="A254" s="41">
        <v>45778</v>
      </c>
      <c r="B254">
        <v>2025</v>
      </c>
      <c r="C254">
        <v>5</v>
      </c>
      <c r="D254" t="s">
        <v>101</v>
      </c>
      <c r="E254" t="s">
        <v>102</v>
      </c>
      <c r="F254" s="3">
        <v>3501</v>
      </c>
      <c r="G254" s="3" t="s">
        <v>26</v>
      </c>
      <c r="H254" s="3">
        <v>1147</v>
      </c>
      <c r="I254" s="3">
        <v>7528</v>
      </c>
      <c r="J254" s="3">
        <v>19</v>
      </c>
      <c r="K254" s="3">
        <v>105</v>
      </c>
      <c r="L254">
        <f t="shared" si="14"/>
        <v>7423</v>
      </c>
    </row>
    <row r="255" spans="1:12" x14ac:dyDescent="0.3">
      <c r="A255" s="41">
        <v>46174</v>
      </c>
      <c r="B255">
        <v>2026</v>
      </c>
      <c r="C255">
        <v>6</v>
      </c>
      <c r="D255" t="s">
        <v>103</v>
      </c>
      <c r="E255" t="s">
        <v>104</v>
      </c>
      <c r="F255" s="3">
        <v>102</v>
      </c>
      <c r="G255" s="3" t="s">
        <v>43</v>
      </c>
      <c r="H255" s="3">
        <v>10844</v>
      </c>
      <c r="I255" s="3">
        <v>24632</v>
      </c>
      <c r="J255" s="3">
        <v>93</v>
      </c>
      <c r="K255" s="3">
        <v>864</v>
      </c>
      <c r="L255">
        <f>I255-K255</f>
        <v>23768</v>
      </c>
    </row>
    <row r="256" spans="1:12" x14ac:dyDescent="0.3">
      <c r="A256" s="41">
        <v>46174</v>
      </c>
      <c r="B256">
        <v>2026</v>
      </c>
      <c r="C256">
        <v>6</v>
      </c>
      <c r="D256" t="s">
        <v>103</v>
      </c>
      <c r="E256" t="s">
        <v>104</v>
      </c>
      <c r="F256" s="3">
        <v>201</v>
      </c>
      <c r="G256" s="3" t="s">
        <v>44</v>
      </c>
      <c r="H256" s="3">
        <v>2225</v>
      </c>
      <c r="I256" s="3">
        <v>17667</v>
      </c>
      <c r="J256" s="3">
        <v>75</v>
      </c>
      <c r="K256" s="3">
        <v>2066</v>
      </c>
      <c r="L256">
        <f t="shared" ref="L256:L265" si="15">I256-K256</f>
        <v>15601</v>
      </c>
    </row>
    <row r="257" spans="1:12" x14ac:dyDescent="0.3">
      <c r="A257" s="41">
        <v>46174</v>
      </c>
      <c r="B257">
        <v>2026</v>
      </c>
      <c r="C257">
        <v>6</v>
      </c>
      <c r="D257" t="s">
        <v>103</v>
      </c>
      <c r="E257" t="s">
        <v>104</v>
      </c>
      <c r="F257" s="3">
        <v>202</v>
      </c>
      <c r="G257" s="3" t="s">
        <v>45</v>
      </c>
      <c r="H257" s="3">
        <v>9239</v>
      </c>
      <c r="I257" s="3">
        <v>41788</v>
      </c>
      <c r="J257" s="3">
        <v>546</v>
      </c>
      <c r="K257" s="3">
        <v>4219</v>
      </c>
      <c r="L257">
        <f t="shared" si="15"/>
        <v>37569</v>
      </c>
    </row>
    <row r="258" spans="1:12" x14ac:dyDescent="0.3">
      <c r="A258" s="41">
        <v>46174</v>
      </c>
      <c r="B258">
        <v>2026</v>
      </c>
      <c r="C258">
        <v>6</v>
      </c>
      <c r="D258" t="s">
        <v>103</v>
      </c>
      <c r="E258" t="s">
        <v>104</v>
      </c>
      <c r="F258" s="3">
        <v>401</v>
      </c>
      <c r="G258" s="3" t="s">
        <v>7</v>
      </c>
      <c r="H258" s="3">
        <v>9544</v>
      </c>
      <c r="I258" s="3">
        <v>8467</v>
      </c>
      <c r="J258" s="3">
        <v>3739</v>
      </c>
      <c r="K258" s="3">
        <v>5429</v>
      </c>
      <c r="L258">
        <f t="shared" si="15"/>
        <v>3038</v>
      </c>
    </row>
    <row r="259" spans="1:12" x14ac:dyDescent="0.3">
      <c r="A259" s="41">
        <v>46174</v>
      </c>
      <c r="B259">
        <v>2026</v>
      </c>
      <c r="C259">
        <v>6</v>
      </c>
      <c r="D259" t="s">
        <v>103</v>
      </c>
      <c r="E259" t="s">
        <v>104</v>
      </c>
      <c r="F259" s="3">
        <v>402</v>
      </c>
      <c r="G259" s="3" t="s">
        <v>8</v>
      </c>
      <c r="H259" s="3">
        <v>18953</v>
      </c>
      <c r="I259" s="3">
        <v>49597</v>
      </c>
      <c r="J259" s="3">
        <v>750</v>
      </c>
      <c r="K259" s="3">
        <v>2580</v>
      </c>
      <c r="L259">
        <f t="shared" si="15"/>
        <v>47017</v>
      </c>
    </row>
    <row r="260" spans="1:12" x14ac:dyDescent="0.3">
      <c r="A260" s="41">
        <v>46174</v>
      </c>
      <c r="B260">
        <v>2026</v>
      </c>
      <c r="C260">
        <v>6</v>
      </c>
      <c r="D260" t="s">
        <v>103</v>
      </c>
      <c r="E260" t="s">
        <v>104</v>
      </c>
      <c r="F260" s="3">
        <v>403</v>
      </c>
      <c r="G260" s="3" t="s">
        <v>23</v>
      </c>
      <c r="H260" s="3">
        <v>3520</v>
      </c>
      <c r="I260" s="3">
        <v>5261</v>
      </c>
      <c r="J260" s="3">
        <v>5237</v>
      </c>
      <c r="K260" s="3">
        <v>12073</v>
      </c>
      <c r="L260">
        <f t="shared" si="15"/>
        <v>-6812</v>
      </c>
    </row>
    <row r="261" spans="1:12" x14ac:dyDescent="0.3">
      <c r="A261" s="41">
        <v>46174</v>
      </c>
      <c r="B261">
        <v>2026</v>
      </c>
      <c r="C261">
        <v>6</v>
      </c>
      <c r="D261" t="s">
        <v>103</v>
      </c>
      <c r="E261" t="s">
        <v>104</v>
      </c>
      <c r="F261" s="3">
        <v>404</v>
      </c>
      <c r="G261" s="3" t="s">
        <v>9</v>
      </c>
      <c r="H261" s="3">
        <v>8855</v>
      </c>
      <c r="I261" s="3">
        <v>11285</v>
      </c>
      <c r="J261" s="3">
        <v>3735</v>
      </c>
      <c r="K261" s="3">
        <v>8202</v>
      </c>
      <c r="L261">
        <f t="shared" si="15"/>
        <v>3083</v>
      </c>
    </row>
    <row r="262" spans="1:12" x14ac:dyDescent="0.3">
      <c r="A262" s="41">
        <v>46174</v>
      </c>
      <c r="B262">
        <v>2026</v>
      </c>
      <c r="C262">
        <v>6</v>
      </c>
      <c r="D262" t="s">
        <v>103</v>
      </c>
      <c r="E262" t="s">
        <v>104</v>
      </c>
      <c r="F262" s="3">
        <v>405</v>
      </c>
      <c r="G262" s="3" t="s">
        <v>10</v>
      </c>
      <c r="H262" s="3">
        <v>4489</v>
      </c>
      <c r="I262" s="3">
        <v>25755</v>
      </c>
      <c r="J262" s="3">
        <v>1466</v>
      </c>
      <c r="K262" s="3">
        <v>9154</v>
      </c>
      <c r="L262">
        <f t="shared" si="15"/>
        <v>16601</v>
      </c>
    </row>
    <row r="263" spans="1:12" x14ac:dyDescent="0.3">
      <c r="A263" s="41">
        <v>46174</v>
      </c>
      <c r="B263">
        <v>2026</v>
      </c>
      <c r="C263">
        <v>6</v>
      </c>
      <c r="D263" t="s">
        <v>103</v>
      </c>
      <c r="E263" t="s">
        <v>104</v>
      </c>
      <c r="F263" s="3">
        <v>406</v>
      </c>
      <c r="G263" s="3" t="s">
        <v>11</v>
      </c>
      <c r="H263" s="3">
        <v>7079</v>
      </c>
      <c r="I263" s="3">
        <v>32447</v>
      </c>
      <c r="J263" s="3">
        <v>23418</v>
      </c>
      <c r="K263" s="3">
        <v>141309</v>
      </c>
      <c r="L263">
        <f t="shared" si="15"/>
        <v>-108862</v>
      </c>
    </row>
    <row r="264" spans="1:12" x14ac:dyDescent="0.3">
      <c r="A264" s="41">
        <v>46174</v>
      </c>
      <c r="B264">
        <v>2026</v>
      </c>
      <c r="C264">
        <v>6</v>
      </c>
      <c r="D264" t="s">
        <v>103</v>
      </c>
      <c r="E264" t="s">
        <v>104</v>
      </c>
      <c r="F264" s="3">
        <v>2105</v>
      </c>
      <c r="G264" s="3" t="s">
        <v>94</v>
      </c>
      <c r="H264" s="3">
        <v>9213</v>
      </c>
      <c r="I264" s="3">
        <v>34214</v>
      </c>
      <c r="J264" s="3">
        <v>775</v>
      </c>
      <c r="K264" s="3">
        <v>3668</v>
      </c>
      <c r="L264">
        <f t="shared" si="15"/>
        <v>30546</v>
      </c>
    </row>
    <row r="265" spans="1:12" x14ac:dyDescent="0.3">
      <c r="A265" s="41">
        <v>46174</v>
      </c>
      <c r="B265">
        <v>2026</v>
      </c>
      <c r="C265">
        <v>6</v>
      </c>
      <c r="D265" t="s">
        <v>103</v>
      </c>
      <c r="E265" t="s">
        <v>104</v>
      </c>
      <c r="F265" s="3">
        <v>3501</v>
      </c>
      <c r="G265" s="3" t="s">
        <v>26</v>
      </c>
      <c r="H265" s="3">
        <v>2128</v>
      </c>
      <c r="I265" s="3">
        <v>13849</v>
      </c>
      <c r="J265" s="3">
        <v>58</v>
      </c>
      <c r="K265" s="3">
        <v>374</v>
      </c>
      <c r="L265">
        <f t="shared" si="15"/>
        <v>13475</v>
      </c>
    </row>
    <row r="266" spans="1:12" x14ac:dyDescent="0.3">
      <c r="A266" s="41">
        <v>45809</v>
      </c>
      <c r="B266">
        <v>2025</v>
      </c>
      <c r="C266">
        <v>6</v>
      </c>
      <c r="D266" t="s">
        <v>103</v>
      </c>
      <c r="E266" t="s">
        <v>105</v>
      </c>
      <c r="F266" s="3">
        <v>102</v>
      </c>
      <c r="G266" s="3" t="s">
        <v>43</v>
      </c>
      <c r="H266" s="3">
        <v>9725</v>
      </c>
      <c r="I266" s="3">
        <v>21457</v>
      </c>
      <c r="J266" s="3">
        <v>252</v>
      </c>
      <c r="K266" s="3">
        <v>1908</v>
      </c>
      <c r="L266">
        <f>I266-K266</f>
        <v>19549</v>
      </c>
    </row>
    <row r="267" spans="1:12" x14ac:dyDescent="0.3">
      <c r="A267" s="41">
        <v>45809</v>
      </c>
      <c r="B267">
        <v>2025</v>
      </c>
      <c r="C267">
        <v>6</v>
      </c>
      <c r="D267" t="s">
        <v>103</v>
      </c>
      <c r="E267" t="s">
        <v>105</v>
      </c>
      <c r="F267" s="3">
        <v>201</v>
      </c>
      <c r="G267" s="3" t="s">
        <v>44</v>
      </c>
      <c r="H267" s="3">
        <v>66</v>
      </c>
      <c r="I267" s="3">
        <v>422</v>
      </c>
      <c r="J267" s="3">
        <v>70</v>
      </c>
      <c r="K267" s="3">
        <v>1660</v>
      </c>
      <c r="L267">
        <f t="shared" ref="L267:L276" si="16">I267-K267</f>
        <v>-1238</v>
      </c>
    </row>
    <row r="268" spans="1:12" x14ac:dyDescent="0.3">
      <c r="A268" s="41">
        <v>45809</v>
      </c>
      <c r="B268">
        <v>2025</v>
      </c>
      <c r="C268">
        <v>6</v>
      </c>
      <c r="D268" t="s">
        <v>103</v>
      </c>
      <c r="E268" t="s">
        <v>105</v>
      </c>
      <c r="F268" s="3">
        <v>202</v>
      </c>
      <c r="G268" s="3" t="s">
        <v>45</v>
      </c>
      <c r="H268" s="3">
        <v>9589</v>
      </c>
      <c r="I268" s="3">
        <v>37584</v>
      </c>
      <c r="J268" s="3">
        <v>818</v>
      </c>
      <c r="K268" s="3">
        <v>5947</v>
      </c>
      <c r="L268">
        <f t="shared" si="16"/>
        <v>31637</v>
      </c>
    </row>
    <row r="269" spans="1:12" x14ac:dyDescent="0.3">
      <c r="A269" s="41">
        <v>45809</v>
      </c>
      <c r="B269">
        <v>2025</v>
      </c>
      <c r="C269">
        <v>6</v>
      </c>
      <c r="D269" t="s">
        <v>103</v>
      </c>
      <c r="E269" t="s">
        <v>105</v>
      </c>
      <c r="F269" s="3">
        <v>401</v>
      </c>
      <c r="G269" s="3" t="s">
        <v>7</v>
      </c>
      <c r="H269" s="3">
        <v>9189</v>
      </c>
      <c r="I269" s="3">
        <v>7294</v>
      </c>
      <c r="J269" s="3">
        <v>1492</v>
      </c>
      <c r="K269" s="3">
        <v>2416</v>
      </c>
      <c r="L269">
        <f t="shared" si="16"/>
        <v>4878</v>
      </c>
    </row>
    <row r="270" spans="1:12" x14ac:dyDescent="0.3">
      <c r="A270" s="41">
        <v>45809</v>
      </c>
      <c r="B270">
        <v>2025</v>
      </c>
      <c r="C270">
        <v>6</v>
      </c>
      <c r="D270" t="s">
        <v>103</v>
      </c>
      <c r="E270" t="s">
        <v>105</v>
      </c>
      <c r="F270" s="3">
        <v>402</v>
      </c>
      <c r="G270" s="3" t="s">
        <v>8</v>
      </c>
      <c r="H270" s="3">
        <v>21355</v>
      </c>
      <c r="I270" s="3">
        <v>54500</v>
      </c>
      <c r="J270" s="3">
        <v>784</v>
      </c>
      <c r="K270" s="3">
        <v>2926</v>
      </c>
      <c r="L270">
        <f t="shared" si="16"/>
        <v>51574</v>
      </c>
    </row>
    <row r="271" spans="1:12" x14ac:dyDescent="0.3">
      <c r="A271" s="41">
        <v>45809</v>
      </c>
      <c r="B271">
        <v>2025</v>
      </c>
      <c r="C271">
        <v>6</v>
      </c>
      <c r="D271" t="s">
        <v>103</v>
      </c>
      <c r="E271" t="s">
        <v>105</v>
      </c>
      <c r="F271" s="3">
        <v>403</v>
      </c>
      <c r="G271" s="3" t="s">
        <v>23</v>
      </c>
      <c r="H271" s="3">
        <v>2757</v>
      </c>
      <c r="I271" s="3">
        <v>4102</v>
      </c>
      <c r="J271" s="3">
        <v>4694</v>
      </c>
      <c r="K271" s="3">
        <v>9701</v>
      </c>
      <c r="L271">
        <f t="shared" si="16"/>
        <v>-5599</v>
      </c>
    </row>
    <row r="272" spans="1:12" x14ac:dyDescent="0.3">
      <c r="A272" s="41">
        <v>45809</v>
      </c>
      <c r="B272">
        <v>2025</v>
      </c>
      <c r="C272">
        <v>6</v>
      </c>
      <c r="D272" t="s">
        <v>103</v>
      </c>
      <c r="E272" t="s">
        <v>105</v>
      </c>
      <c r="F272" s="3">
        <v>404</v>
      </c>
      <c r="G272" s="3" t="s">
        <v>9</v>
      </c>
      <c r="H272" s="3">
        <v>9071</v>
      </c>
      <c r="I272" s="3">
        <v>8416</v>
      </c>
      <c r="J272" s="3">
        <v>2041</v>
      </c>
      <c r="K272" s="3">
        <v>4036</v>
      </c>
      <c r="L272">
        <f t="shared" si="16"/>
        <v>4380</v>
      </c>
    </row>
    <row r="273" spans="1:12" x14ac:dyDescent="0.3">
      <c r="A273" s="41">
        <v>45809</v>
      </c>
      <c r="B273">
        <v>2025</v>
      </c>
      <c r="C273">
        <v>6</v>
      </c>
      <c r="D273" t="s">
        <v>103</v>
      </c>
      <c r="E273" t="s">
        <v>105</v>
      </c>
      <c r="F273" s="3">
        <v>405</v>
      </c>
      <c r="G273" s="3" t="s">
        <v>10</v>
      </c>
      <c r="H273" s="3">
        <v>9305</v>
      </c>
      <c r="I273" s="3">
        <v>66605</v>
      </c>
      <c r="J273" s="3">
        <v>588</v>
      </c>
      <c r="K273" s="3">
        <v>5887</v>
      </c>
      <c r="L273">
        <f t="shared" si="16"/>
        <v>60718</v>
      </c>
    </row>
    <row r="274" spans="1:12" x14ac:dyDescent="0.3">
      <c r="A274" s="41">
        <v>45809</v>
      </c>
      <c r="B274">
        <v>2025</v>
      </c>
      <c r="C274">
        <v>6</v>
      </c>
      <c r="D274" t="s">
        <v>103</v>
      </c>
      <c r="E274" t="s">
        <v>105</v>
      </c>
      <c r="F274" s="3">
        <v>406</v>
      </c>
      <c r="G274" s="3" t="s">
        <v>11</v>
      </c>
      <c r="H274" s="3">
        <v>6932</v>
      </c>
      <c r="I274" s="3">
        <v>31876</v>
      </c>
      <c r="J274" s="3">
        <v>19445</v>
      </c>
      <c r="K274" s="3">
        <v>122145</v>
      </c>
      <c r="L274">
        <f t="shared" si="16"/>
        <v>-90269</v>
      </c>
    </row>
    <row r="275" spans="1:12" x14ac:dyDescent="0.3">
      <c r="A275" s="41">
        <v>45809</v>
      </c>
      <c r="B275">
        <v>2025</v>
      </c>
      <c r="C275">
        <v>6</v>
      </c>
      <c r="D275" t="s">
        <v>103</v>
      </c>
      <c r="E275" t="s">
        <v>105</v>
      </c>
      <c r="F275" s="3">
        <v>2105</v>
      </c>
      <c r="G275" s="3" t="s">
        <v>94</v>
      </c>
      <c r="H275" s="3">
        <v>9272</v>
      </c>
      <c r="I275" s="3">
        <v>33646</v>
      </c>
      <c r="J275" s="3">
        <v>1002</v>
      </c>
      <c r="K275" s="3">
        <v>5375</v>
      </c>
      <c r="L275">
        <f t="shared" si="16"/>
        <v>28271</v>
      </c>
    </row>
    <row r="276" spans="1:12" x14ac:dyDescent="0.3">
      <c r="A276" s="41">
        <v>45809</v>
      </c>
      <c r="B276">
        <v>2025</v>
      </c>
      <c r="C276">
        <v>6</v>
      </c>
      <c r="D276" t="s">
        <v>103</v>
      </c>
      <c r="E276" t="s">
        <v>105</v>
      </c>
      <c r="F276" s="3">
        <v>3501</v>
      </c>
      <c r="G276" s="3" t="s">
        <v>26</v>
      </c>
      <c r="H276" s="3">
        <v>2872</v>
      </c>
      <c r="I276" s="3">
        <v>18518</v>
      </c>
      <c r="J276" s="3">
        <v>29</v>
      </c>
      <c r="K276" s="3">
        <v>181</v>
      </c>
      <c r="L276">
        <f t="shared" si="16"/>
        <v>18337</v>
      </c>
    </row>
    <row r="277" spans="1:12" x14ac:dyDescent="0.3">
      <c r="A277" s="41">
        <v>46204</v>
      </c>
      <c r="B277">
        <v>2026</v>
      </c>
      <c r="C277">
        <v>7</v>
      </c>
      <c r="D277" t="s">
        <v>108</v>
      </c>
      <c r="E277" t="s">
        <v>109</v>
      </c>
      <c r="F277" s="3">
        <v>102</v>
      </c>
      <c r="G277" s="3" t="s">
        <v>43</v>
      </c>
      <c r="H277" s="3">
        <v>12152</v>
      </c>
      <c r="I277" s="3">
        <v>28695</v>
      </c>
      <c r="J277" s="3">
        <v>93</v>
      </c>
      <c r="K277" s="3">
        <v>865</v>
      </c>
      <c r="L277">
        <f t="shared" ref="L277:L287" si="17">I277-K277</f>
        <v>27830</v>
      </c>
    </row>
    <row r="278" spans="1:12" x14ac:dyDescent="0.3">
      <c r="A278" s="41">
        <v>46204</v>
      </c>
      <c r="B278">
        <v>2026</v>
      </c>
      <c r="C278">
        <v>7</v>
      </c>
      <c r="D278" t="s">
        <v>108</v>
      </c>
      <c r="E278" t="s">
        <v>109</v>
      </c>
      <c r="F278" s="3">
        <v>201</v>
      </c>
      <c r="G278" s="3" t="s">
        <v>44</v>
      </c>
      <c r="H278" s="3">
        <v>2568</v>
      </c>
      <c r="I278" s="3">
        <v>20410</v>
      </c>
      <c r="J278" s="3">
        <v>90</v>
      </c>
      <c r="K278" s="3">
        <v>2576</v>
      </c>
      <c r="L278">
        <f t="shared" si="17"/>
        <v>17834</v>
      </c>
    </row>
    <row r="279" spans="1:12" x14ac:dyDescent="0.3">
      <c r="A279" s="41">
        <v>46204</v>
      </c>
      <c r="B279">
        <v>2026</v>
      </c>
      <c r="C279">
        <v>7</v>
      </c>
      <c r="D279" t="s">
        <v>108</v>
      </c>
      <c r="E279" t="s">
        <v>109</v>
      </c>
      <c r="F279" s="3">
        <v>202</v>
      </c>
      <c r="G279" s="3" t="s">
        <v>45</v>
      </c>
      <c r="H279" s="3">
        <v>10932</v>
      </c>
      <c r="I279" s="3">
        <v>49407</v>
      </c>
      <c r="J279" s="3">
        <v>670</v>
      </c>
      <c r="K279" s="3">
        <v>5162</v>
      </c>
      <c r="L279">
        <f t="shared" si="17"/>
        <v>44245</v>
      </c>
    </row>
    <row r="280" spans="1:12" x14ac:dyDescent="0.3">
      <c r="A280" s="41">
        <v>46204</v>
      </c>
      <c r="B280">
        <v>2026</v>
      </c>
      <c r="C280">
        <v>7</v>
      </c>
      <c r="D280" t="s">
        <v>108</v>
      </c>
      <c r="E280" t="s">
        <v>109</v>
      </c>
      <c r="F280" s="3">
        <v>401</v>
      </c>
      <c r="G280" s="3" t="s">
        <v>7</v>
      </c>
      <c r="H280" s="3">
        <v>10914</v>
      </c>
      <c r="I280" s="3">
        <v>9655</v>
      </c>
      <c r="J280" s="3">
        <v>5043</v>
      </c>
      <c r="K280" s="3">
        <v>7074</v>
      </c>
      <c r="L280">
        <f t="shared" si="17"/>
        <v>2581</v>
      </c>
    </row>
    <row r="281" spans="1:12" x14ac:dyDescent="0.3">
      <c r="A281" s="41">
        <v>46204</v>
      </c>
      <c r="B281">
        <v>2026</v>
      </c>
      <c r="C281">
        <v>7</v>
      </c>
      <c r="D281" t="s">
        <v>108</v>
      </c>
      <c r="E281" t="s">
        <v>109</v>
      </c>
      <c r="F281" s="3">
        <v>402</v>
      </c>
      <c r="G281" s="3" t="s">
        <v>8</v>
      </c>
      <c r="H281" s="3">
        <v>22202</v>
      </c>
      <c r="I281" s="3">
        <v>58434</v>
      </c>
      <c r="J281" s="3">
        <v>907</v>
      </c>
      <c r="K281" s="3">
        <v>3158</v>
      </c>
      <c r="L281">
        <f t="shared" si="17"/>
        <v>55276</v>
      </c>
    </row>
    <row r="282" spans="1:12" x14ac:dyDescent="0.3">
      <c r="A282" s="41">
        <v>46204</v>
      </c>
      <c r="B282">
        <v>2026</v>
      </c>
      <c r="C282">
        <v>7</v>
      </c>
      <c r="D282" t="s">
        <v>108</v>
      </c>
      <c r="E282" t="s">
        <v>109</v>
      </c>
      <c r="F282" s="3">
        <v>403</v>
      </c>
      <c r="G282" s="3" t="s">
        <v>23</v>
      </c>
      <c r="H282" s="3">
        <v>4239</v>
      </c>
      <c r="I282" s="3">
        <v>6282</v>
      </c>
      <c r="J282" s="3">
        <v>6276</v>
      </c>
      <c r="K282" s="3">
        <v>14285</v>
      </c>
      <c r="L282">
        <f t="shared" si="17"/>
        <v>-8003</v>
      </c>
    </row>
    <row r="283" spans="1:12" x14ac:dyDescent="0.3">
      <c r="A283" s="41">
        <v>46204</v>
      </c>
      <c r="B283">
        <v>2026</v>
      </c>
      <c r="C283">
        <v>7</v>
      </c>
      <c r="D283" t="s">
        <v>108</v>
      </c>
      <c r="E283" t="s">
        <v>109</v>
      </c>
      <c r="F283" s="3">
        <v>404</v>
      </c>
      <c r="G283" s="3" t="s">
        <v>9</v>
      </c>
      <c r="H283" s="3">
        <v>10216</v>
      </c>
      <c r="I283" s="3">
        <v>13513</v>
      </c>
      <c r="J283" s="3">
        <v>4630</v>
      </c>
      <c r="K283" s="3">
        <v>10225</v>
      </c>
      <c r="L283">
        <f t="shared" si="17"/>
        <v>3288</v>
      </c>
    </row>
    <row r="284" spans="1:12" x14ac:dyDescent="0.3">
      <c r="A284" s="41">
        <v>46204</v>
      </c>
      <c r="B284">
        <v>2026</v>
      </c>
      <c r="C284">
        <v>7</v>
      </c>
      <c r="D284" t="s">
        <v>108</v>
      </c>
      <c r="E284" t="s">
        <v>109</v>
      </c>
      <c r="F284" s="3">
        <v>405</v>
      </c>
      <c r="G284" s="3" t="s">
        <v>10</v>
      </c>
      <c r="H284" s="3">
        <v>5568</v>
      </c>
      <c r="I284" s="3">
        <v>31122</v>
      </c>
      <c r="J284" s="3">
        <v>1665</v>
      </c>
      <c r="K284" s="3">
        <v>10318</v>
      </c>
      <c r="L284">
        <f t="shared" si="17"/>
        <v>20804</v>
      </c>
    </row>
    <row r="285" spans="1:12" x14ac:dyDescent="0.3">
      <c r="A285" s="41">
        <v>46204</v>
      </c>
      <c r="B285">
        <v>2026</v>
      </c>
      <c r="C285">
        <v>7</v>
      </c>
      <c r="D285" t="s">
        <v>108</v>
      </c>
      <c r="E285" t="s">
        <v>109</v>
      </c>
      <c r="F285" s="3">
        <v>406</v>
      </c>
      <c r="G285" s="3" t="s">
        <v>11</v>
      </c>
      <c r="H285" s="3">
        <v>8212</v>
      </c>
      <c r="I285" s="3">
        <v>37420</v>
      </c>
      <c r="J285" s="3">
        <v>28316</v>
      </c>
      <c r="K285" s="3">
        <v>168832</v>
      </c>
      <c r="L285">
        <f t="shared" si="17"/>
        <v>-131412</v>
      </c>
    </row>
    <row r="286" spans="1:12" x14ac:dyDescent="0.3">
      <c r="A286" s="41">
        <v>46204</v>
      </c>
      <c r="B286">
        <v>2026</v>
      </c>
      <c r="C286">
        <v>7</v>
      </c>
      <c r="D286" t="s">
        <v>108</v>
      </c>
      <c r="E286" t="s">
        <v>109</v>
      </c>
      <c r="F286" s="3">
        <v>2105</v>
      </c>
      <c r="G286" s="3" t="s">
        <v>94</v>
      </c>
      <c r="H286" s="3">
        <v>12097</v>
      </c>
      <c r="I286" s="3">
        <v>44705</v>
      </c>
      <c r="J286" s="3">
        <v>1051</v>
      </c>
      <c r="K286" s="3">
        <v>4846</v>
      </c>
      <c r="L286">
        <f t="shared" si="17"/>
        <v>39859</v>
      </c>
    </row>
    <row r="287" spans="1:12" x14ac:dyDescent="0.3">
      <c r="A287" s="41">
        <v>46204</v>
      </c>
      <c r="B287">
        <v>2026</v>
      </c>
      <c r="C287">
        <v>7</v>
      </c>
      <c r="D287" t="s">
        <v>108</v>
      </c>
      <c r="E287" t="s">
        <v>109</v>
      </c>
      <c r="F287" s="3">
        <v>3501</v>
      </c>
      <c r="G287" s="3" t="s">
        <v>26</v>
      </c>
      <c r="H287" s="3">
        <v>2605</v>
      </c>
      <c r="I287" s="3">
        <v>17147</v>
      </c>
      <c r="J287" s="3">
        <v>81</v>
      </c>
      <c r="K287" s="3">
        <v>536</v>
      </c>
      <c r="L287">
        <f t="shared" si="17"/>
        <v>16611</v>
      </c>
    </row>
    <row r="288" spans="1:12" x14ac:dyDescent="0.3">
      <c r="A288" s="41">
        <v>45839</v>
      </c>
      <c r="B288">
        <v>2025</v>
      </c>
      <c r="C288">
        <v>7</v>
      </c>
      <c r="D288" t="s">
        <v>108</v>
      </c>
      <c r="E288" t="s">
        <v>110</v>
      </c>
      <c r="F288" s="3">
        <v>102</v>
      </c>
      <c r="G288" s="3" t="s">
        <v>43</v>
      </c>
      <c r="H288" s="3">
        <v>11713</v>
      </c>
      <c r="I288" s="3">
        <v>25655</v>
      </c>
      <c r="J288" s="3">
        <v>494</v>
      </c>
      <c r="K288" s="3">
        <v>3821</v>
      </c>
      <c r="L288">
        <f t="shared" ref="L288:L298" si="18">I288-K288</f>
        <v>21834</v>
      </c>
    </row>
    <row r="289" spans="1:12" x14ac:dyDescent="0.3">
      <c r="A289" s="41">
        <v>45839</v>
      </c>
      <c r="B289">
        <v>2025</v>
      </c>
      <c r="C289">
        <v>7</v>
      </c>
      <c r="D289" t="s">
        <v>108</v>
      </c>
      <c r="E289" t="s">
        <v>110</v>
      </c>
      <c r="F289" s="3">
        <v>201</v>
      </c>
      <c r="G289" s="3" t="s">
        <v>44</v>
      </c>
      <c r="H289" s="3">
        <v>101</v>
      </c>
      <c r="I289" s="3">
        <v>587</v>
      </c>
      <c r="J289" s="3">
        <v>80</v>
      </c>
      <c r="K289" s="3">
        <v>1817</v>
      </c>
      <c r="L289">
        <f t="shared" si="18"/>
        <v>-1230</v>
      </c>
    </row>
    <row r="290" spans="1:12" x14ac:dyDescent="0.3">
      <c r="A290" s="41">
        <v>45839</v>
      </c>
      <c r="B290">
        <v>2025</v>
      </c>
      <c r="C290">
        <v>7</v>
      </c>
      <c r="D290" t="s">
        <v>108</v>
      </c>
      <c r="E290" t="s">
        <v>110</v>
      </c>
      <c r="F290" s="3">
        <v>202</v>
      </c>
      <c r="G290" s="3" t="s">
        <v>45</v>
      </c>
      <c r="H290" s="3">
        <v>11275</v>
      </c>
      <c r="I290" s="3">
        <v>45144</v>
      </c>
      <c r="J290" s="3">
        <v>941</v>
      </c>
      <c r="K290" s="3">
        <v>6990</v>
      </c>
      <c r="L290">
        <f t="shared" si="18"/>
        <v>38154</v>
      </c>
    </row>
    <row r="291" spans="1:12" x14ac:dyDescent="0.3">
      <c r="A291" s="41">
        <v>45839</v>
      </c>
      <c r="B291">
        <v>2025</v>
      </c>
      <c r="C291">
        <v>7</v>
      </c>
      <c r="D291" t="s">
        <v>108</v>
      </c>
      <c r="E291" t="s">
        <v>110</v>
      </c>
      <c r="F291" s="3">
        <v>401</v>
      </c>
      <c r="G291" s="3" t="s">
        <v>7</v>
      </c>
      <c r="H291" s="3">
        <v>10832</v>
      </c>
      <c r="I291" s="3">
        <v>8637</v>
      </c>
      <c r="J291" s="3">
        <v>1582</v>
      </c>
      <c r="K291" s="3">
        <v>2607</v>
      </c>
      <c r="L291">
        <f t="shared" si="18"/>
        <v>6030</v>
      </c>
    </row>
    <row r="292" spans="1:12" x14ac:dyDescent="0.3">
      <c r="A292" s="41">
        <v>45839</v>
      </c>
      <c r="B292">
        <v>2025</v>
      </c>
      <c r="C292">
        <v>7</v>
      </c>
      <c r="D292" t="s">
        <v>108</v>
      </c>
      <c r="E292" t="s">
        <v>110</v>
      </c>
      <c r="F292" s="3">
        <v>402</v>
      </c>
      <c r="G292" s="3" t="s">
        <v>8</v>
      </c>
      <c r="H292" s="3">
        <v>24632</v>
      </c>
      <c r="I292" s="3">
        <v>63406</v>
      </c>
      <c r="J292" s="3">
        <v>900</v>
      </c>
      <c r="K292" s="3">
        <v>3382</v>
      </c>
      <c r="L292">
        <f t="shared" si="18"/>
        <v>60024</v>
      </c>
    </row>
    <row r="293" spans="1:12" x14ac:dyDescent="0.3">
      <c r="A293" s="41">
        <v>45839</v>
      </c>
      <c r="B293">
        <v>2025</v>
      </c>
      <c r="C293">
        <v>7</v>
      </c>
      <c r="D293" t="s">
        <v>108</v>
      </c>
      <c r="E293" t="s">
        <v>110</v>
      </c>
      <c r="F293" s="3">
        <v>403</v>
      </c>
      <c r="G293" s="3" t="s">
        <v>23</v>
      </c>
      <c r="H293" s="3">
        <v>3308</v>
      </c>
      <c r="I293" s="3">
        <v>4874</v>
      </c>
      <c r="J293" s="3">
        <v>5478</v>
      </c>
      <c r="K293" s="3">
        <v>11361</v>
      </c>
      <c r="L293">
        <f t="shared" si="18"/>
        <v>-6487</v>
      </c>
    </row>
    <row r="294" spans="1:12" x14ac:dyDescent="0.3">
      <c r="A294" s="41">
        <v>45839</v>
      </c>
      <c r="B294">
        <v>2025</v>
      </c>
      <c r="C294">
        <v>7</v>
      </c>
      <c r="D294" t="s">
        <v>108</v>
      </c>
      <c r="E294" t="s">
        <v>110</v>
      </c>
      <c r="F294" s="3">
        <v>404</v>
      </c>
      <c r="G294" s="3" t="s">
        <v>9</v>
      </c>
      <c r="H294" s="3">
        <v>10299</v>
      </c>
      <c r="I294" s="3">
        <v>9647</v>
      </c>
      <c r="J294" s="3">
        <v>2654</v>
      </c>
      <c r="K294" s="3">
        <v>5066</v>
      </c>
      <c r="L294">
        <f t="shared" si="18"/>
        <v>4581</v>
      </c>
    </row>
    <row r="295" spans="1:12" x14ac:dyDescent="0.3">
      <c r="A295" s="41">
        <v>45839</v>
      </c>
      <c r="B295">
        <v>2025</v>
      </c>
      <c r="C295">
        <v>7</v>
      </c>
      <c r="D295" t="s">
        <v>108</v>
      </c>
      <c r="E295" t="s">
        <v>110</v>
      </c>
      <c r="F295" s="3">
        <v>405</v>
      </c>
      <c r="G295" s="3" t="s">
        <v>10</v>
      </c>
      <c r="H295" s="3">
        <v>10651</v>
      </c>
      <c r="I295" s="3">
        <v>76365</v>
      </c>
      <c r="J295" s="3">
        <v>646</v>
      </c>
      <c r="K295" s="3">
        <v>6414</v>
      </c>
      <c r="L295">
        <f t="shared" si="18"/>
        <v>69951</v>
      </c>
    </row>
    <row r="296" spans="1:12" x14ac:dyDescent="0.3">
      <c r="A296" s="41">
        <v>45839</v>
      </c>
      <c r="B296">
        <v>2025</v>
      </c>
      <c r="C296">
        <v>7</v>
      </c>
      <c r="D296" t="s">
        <v>108</v>
      </c>
      <c r="E296" t="s">
        <v>110</v>
      </c>
      <c r="F296" s="3">
        <v>406</v>
      </c>
      <c r="G296" s="3" t="s">
        <v>11</v>
      </c>
      <c r="H296" s="3">
        <v>8097</v>
      </c>
      <c r="I296" s="3">
        <v>37170</v>
      </c>
      <c r="J296" s="3">
        <v>22679</v>
      </c>
      <c r="K296" s="3">
        <v>143199</v>
      </c>
      <c r="L296">
        <f t="shared" si="18"/>
        <v>-106029</v>
      </c>
    </row>
    <row r="297" spans="1:12" x14ac:dyDescent="0.3">
      <c r="A297" s="41">
        <v>45839</v>
      </c>
      <c r="B297">
        <v>2025</v>
      </c>
      <c r="C297">
        <v>7</v>
      </c>
      <c r="D297" t="s">
        <v>108</v>
      </c>
      <c r="E297" t="s">
        <v>110</v>
      </c>
      <c r="F297" s="3">
        <v>2105</v>
      </c>
      <c r="G297" s="3" t="s">
        <v>94</v>
      </c>
      <c r="H297" s="3">
        <v>11899</v>
      </c>
      <c r="I297" s="3">
        <v>43611</v>
      </c>
      <c r="J297" s="3">
        <v>1219</v>
      </c>
      <c r="K297" s="3">
        <v>6750</v>
      </c>
      <c r="L297">
        <f t="shared" si="18"/>
        <v>36861</v>
      </c>
    </row>
    <row r="298" spans="1:12" x14ac:dyDescent="0.3">
      <c r="A298" s="41">
        <v>45839</v>
      </c>
      <c r="B298">
        <v>2025</v>
      </c>
      <c r="C298">
        <v>7</v>
      </c>
      <c r="D298" t="s">
        <v>108</v>
      </c>
      <c r="E298" t="s">
        <v>110</v>
      </c>
      <c r="F298" s="3">
        <v>3501</v>
      </c>
      <c r="G298" s="3" t="s">
        <v>26</v>
      </c>
      <c r="H298" s="3">
        <v>3616</v>
      </c>
      <c r="I298" s="3">
        <v>23080</v>
      </c>
      <c r="J298" s="3">
        <v>54</v>
      </c>
      <c r="K298" s="3">
        <v>345</v>
      </c>
      <c r="L298">
        <f t="shared" si="18"/>
        <v>22735</v>
      </c>
    </row>
    <row r="299" spans="1:12" x14ac:dyDescent="0.3">
      <c r="A299" s="41">
        <v>46235</v>
      </c>
      <c r="B299">
        <v>2026</v>
      </c>
      <c r="C299">
        <v>8</v>
      </c>
      <c r="D299" t="s">
        <v>6</v>
      </c>
      <c r="E299" t="s">
        <v>114</v>
      </c>
      <c r="F299" s="3">
        <v>102</v>
      </c>
      <c r="G299" s="3" t="s">
        <v>43</v>
      </c>
      <c r="H299" s="3">
        <v>13473</v>
      </c>
      <c r="I299" s="3">
        <v>32315</v>
      </c>
      <c r="J299" s="3">
        <v>93</v>
      </c>
      <c r="K299" s="3">
        <v>865</v>
      </c>
      <c r="L299">
        <f t="shared" ref="L299:L309" si="19">I299-K299</f>
        <v>31450</v>
      </c>
    </row>
    <row r="300" spans="1:12" x14ac:dyDescent="0.3">
      <c r="A300" s="41">
        <v>46235</v>
      </c>
      <c r="B300">
        <v>2026</v>
      </c>
      <c r="C300">
        <v>8</v>
      </c>
      <c r="D300" t="s">
        <v>6</v>
      </c>
      <c r="E300" t="s">
        <v>114</v>
      </c>
      <c r="F300" s="3">
        <v>201</v>
      </c>
      <c r="G300" s="3" t="s">
        <v>44</v>
      </c>
      <c r="H300" s="3">
        <v>3042</v>
      </c>
      <c r="I300" s="3">
        <v>24369</v>
      </c>
      <c r="J300" s="3">
        <v>99</v>
      </c>
      <c r="K300" s="3">
        <v>2743</v>
      </c>
      <c r="L300">
        <f t="shared" si="19"/>
        <v>21626</v>
      </c>
    </row>
    <row r="301" spans="1:12" x14ac:dyDescent="0.3">
      <c r="A301" s="41">
        <v>46235</v>
      </c>
      <c r="B301">
        <v>2026</v>
      </c>
      <c r="C301">
        <v>8</v>
      </c>
      <c r="D301" t="s">
        <v>6</v>
      </c>
      <c r="E301" t="s">
        <v>114</v>
      </c>
      <c r="F301" s="3">
        <v>202</v>
      </c>
      <c r="G301" s="3" t="s">
        <v>45</v>
      </c>
      <c r="H301" s="3">
        <v>12752</v>
      </c>
      <c r="I301" s="3">
        <v>57569</v>
      </c>
      <c r="J301" s="3">
        <v>754</v>
      </c>
      <c r="K301" s="3">
        <v>5781</v>
      </c>
      <c r="L301">
        <f t="shared" si="19"/>
        <v>51788</v>
      </c>
    </row>
    <row r="302" spans="1:12" x14ac:dyDescent="0.3">
      <c r="A302" s="41">
        <v>46235</v>
      </c>
      <c r="B302">
        <v>2026</v>
      </c>
      <c r="C302">
        <v>8</v>
      </c>
      <c r="D302" t="s">
        <v>6</v>
      </c>
      <c r="E302" t="s">
        <v>114</v>
      </c>
      <c r="F302" s="3">
        <v>401</v>
      </c>
      <c r="G302" s="3" t="s">
        <v>7</v>
      </c>
      <c r="H302" s="3">
        <v>12712</v>
      </c>
      <c r="I302" s="3">
        <v>11165</v>
      </c>
      <c r="J302" s="3">
        <v>6488</v>
      </c>
      <c r="K302" s="3">
        <v>8718</v>
      </c>
      <c r="L302">
        <f t="shared" si="19"/>
        <v>2447</v>
      </c>
    </row>
    <row r="303" spans="1:12" x14ac:dyDescent="0.3">
      <c r="A303" s="41">
        <v>46235</v>
      </c>
      <c r="B303">
        <v>2026</v>
      </c>
      <c r="C303">
        <v>8</v>
      </c>
      <c r="D303" t="s">
        <v>6</v>
      </c>
      <c r="E303" t="s">
        <v>114</v>
      </c>
      <c r="F303" s="3">
        <v>402</v>
      </c>
      <c r="G303" s="3" t="s">
        <v>8</v>
      </c>
      <c r="H303" s="3">
        <v>24963</v>
      </c>
      <c r="I303" s="3">
        <v>66193</v>
      </c>
      <c r="J303" s="3">
        <v>1044</v>
      </c>
      <c r="K303" s="3">
        <v>3700</v>
      </c>
      <c r="L303">
        <f t="shared" si="19"/>
        <v>62493</v>
      </c>
    </row>
    <row r="304" spans="1:12" x14ac:dyDescent="0.3">
      <c r="A304" s="41">
        <v>46235</v>
      </c>
      <c r="B304">
        <v>2026</v>
      </c>
      <c r="C304">
        <v>8</v>
      </c>
      <c r="D304" t="s">
        <v>6</v>
      </c>
      <c r="E304" t="s">
        <v>114</v>
      </c>
      <c r="F304" s="3">
        <v>403</v>
      </c>
      <c r="G304" s="3" t="s">
        <v>23</v>
      </c>
      <c r="H304" s="3">
        <v>4973</v>
      </c>
      <c r="I304" s="3">
        <v>7355</v>
      </c>
      <c r="J304" s="3">
        <v>7235</v>
      </c>
      <c r="K304" s="3">
        <v>16467</v>
      </c>
      <c r="L304">
        <f t="shared" si="19"/>
        <v>-9112</v>
      </c>
    </row>
    <row r="305" spans="1:12" x14ac:dyDescent="0.3">
      <c r="A305" s="41">
        <v>46235</v>
      </c>
      <c r="B305">
        <v>2026</v>
      </c>
      <c r="C305">
        <v>8</v>
      </c>
      <c r="D305" t="s">
        <v>6</v>
      </c>
      <c r="E305" t="s">
        <v>114</v>
      </c>
      <c r="F305" s="3">
        <v>404</v>
      </c>
      <c r="G305" s="3" t="s">
        <v>9</v>
      </c>
      <c r="H305" s="3">
        <v>11575</v>
      </c>
      <c r="I305" s="3">
        <v>15754</v>
      </c>
      <c r="J305" s="3">
        <v>5479</v>
      </c>
      <c r="K305" s="3">
        <v>12087</v>
      </c>
      <c r="L305">
        <f t="shared" si="19"/>
        <v>3667</v>
      </c>
    </row>
    <row r="306" spans="1:12" x14ac:dyDescent="0.3">
      <c r="A306" s="41">
        <v>46235</v>
      </c>
      <c r="B306">
        <v>2026</v>
      </c>
      <c r="C306">
        <v>8</v>
      </c>
      <c r="D306" t="s">
        <v>6</v>
      </c>
      <c r="E306" t="s">
        <v>114</v>
      </c>
      <c r="F306" s="3">
        <v>405</v>
      </c>
      <c r="G306" s="3" t="s">
        <v>10</v>
      </c>
      <c r="H306" s="3">
        <v>6190</v>
      </c>
      <c r="I306" s="3">
        <v>34392</v>
      </c>
      <c r="J306" s="3">
        <v>1908</v>
      </c>
      <c r="K306" s="3">
        <v>11813</v>
      </c>
      <c r="L306">
        <f t="shared" si="19"/>
        <v>22579</v>
      </c>
    </row>
    <row r="307" spans="1:12" x14ac:dyDescent="0.3">
      <c r="A307" s="41">
        <v>46235</v>
      </c>
      <c r="B307">
        <v>2026</v>
      </c>
      <c r="C307">
        <v>8</v>
      </c>
      <c r="D307" t="s">
        <v>6</v>
      </c>
      <c r="E307" t="s">
        <v>114</v>
      </c>
      <c r="F307" s="3">
        <v>406</v>
      </c>
      <c r="G307" s="3" t="s">
        <v>11</v>
      </c>
      <c r="H307" s="3">
        <v>9430</v>
      </c>
      <c r="I307" s="3">
        <v>42666</v>
      </c>
      <c r="J307" s="3">
        <v>32809</v>
      </c>
      <c r="K307" s="3">
        <v>194559</v>
      </c>
      <c r="L307">
        <f t="shared" si="19"/>
        <v>-151893</v>
      </c>
    </row>
    <row r="308" spans="1:12" x14ac:dyDescent="0.3">
      <c r="A308" s="41">
        <v>46235</v>
      </c>
      <c r="B308">
        <v>2026</v>
      </c>
      <c r="C308">
        <v>8</v>
      </c>
      <c r="D308" t="s">
        <v>6</v>
      </c>
      <c r="E308" t="s">
        <v>114</v>
      </c>
      <c r="F308" s="3">
        <v>2105</v>
      </c>
      <c r="G308" s="3" t="s">
        <v>94</v>
      </c>
      <c r="H308" s="3">
        <v>14267</v>
      </c>
      <c r="I308" s="3">
        <v>52668</v>
      </c>
      <c r="J308" s="3">
        <v>1151</v>
      </c>
      <c r="K308" s="3">
        <v>5183</v>
      </c>
      <c r="L308">
        <f t="shared" si="19"/>
        <v>47485</v>
      </c>
    </row>
    <row r="309" spans="1:12" x14ac:dyDescent="0.3">
      <c r="A309" s="41">
        <v>46235</v>
      </c>
      <c r="B309">
        <v>2026</v>
      </c>
      <c r="C309">
        <v>8</v>
      </c>
      <c r="D309" t="s">
        <v>6</v>
      </c>
      <c r="E309" t="s">
        <v>114</v>
      </c>
      <c r="F309" s="3">
        <v>3501</v>
      </c>
      <c r="G309" s="3" t="s">
        <v>26</v>
      </c>
      <c r="H309" s="3">
        <v>2812</v>
      </c>
      <c r="I309" s="3">
        <v>18603</v>
      </c>
      <c r="J309" s="3">
        <v>91</v>
      </c>
      <c r="K309" s="3">
        <v>606</v>
      </c>
      <c r="L309">
        <f t="shared" si="19"/>
        <v>17997</v>
      </c>
    </row>
    <row r="310" spans="1:12" x14ac:dyDescent="0.3">
      <c r="A310" s="41">
        <v>46266</v>
      </c>
      <c r="B310">
        <v>2026</v>
      </c>
      <c r="C310">
        <v>9</v>
      </c>
      <c r="D310" t="s">
        <v>5</v>
      </c>
      <c r="E310" t="s">
        <v>115</v>
      </c>
      <c r="F310" s="3">
        <v>102</v>
      </c>
      <c r="G310" s="3" t="s">
        <v>43</v>
      </c>
      <c r="H310" s="3">
        <v>14645</v>
      </c>
      <c r="I310" s="3">
        <v>35250</v>
      </c>
      <c r="J310" s="3">
        <v>93</v>
      </c>
      <c r="K310" s="3">
        <v>865</v>
      </c>
      <c r="L310">
        <f>I310-K310</f>
        <v>34385</v>
      </c>
    </row>
    <row r="311" spans="1:12" x14ac:dyDescent="0.3">
      <c r="A311" s="41">
        <v>46266</v>
      </c>
      <c r="B311">
        <v>2026</v>
      </c>
      <c r="C311">
        <v>9</v>
      </c>
      <c r="D311" t="s">
        <v>5</v>
      </c>
      <c r="E311" t="s">
        <v>115</v>
      </c>
      <c r="F311" s="3">
        <v>201</v>
      </c>
      <c r="G311" s="3" t="s">
        <v>44</v>
      </c>
      <c r="H311" s="3">
        <v>3557</v>
      </c>
      <c r="I311" s="3">
        <v>28520</v>
      </c>
      <c r="J311" s="3">
        <v>119</v>
      </c>
      <c r="K311" s="3">
        <v>3379</v>
      </c>
      <c r="L311">
        <f t="shared" ref="L311:L320" si="20">I311-K311</f>
        <v>25141</v>
      </c>
    </row>
    <row r="312" spans="1:12" x14ac:dyDescent="0.3">
      <c r="A312" s="41">
        <v>46266</v>
      </c>
      <c r="B312">
        <v>2026</v>
      </c>
      <c r="C312">
        <v>9</v>
      </c>
      <c r="D312" t="s">
        <v>5</v>
      </c>
      <c r="E312" t="s">
        <v>115</v>
      </c>
      <c r="F312" s="3">
        <v>202</v>
      </c>
      <c r="G312" s="3" t="s">
        <v>45</v>
      </c>
      <c r="H312" s="3">
        <v>14398</v>
      </c>
      <c r="I312" s="3">
        <v>65355</v>
      </c>
      <c r="J312" s="3">
        <v>940</v>
      </c>
      <c r="K312" s="3">
        <v>7060</v>
      </c>
      <c r="L312">
        <f t="shared" si="20"/>
        <v>58295</v>
      </c>
    </row>
    <row r="313" spans="1:12" x14ac:dyDescent="0.3">
      <c r="A313" s="41">
        <v>46266</v>
      </c>
      <c r="B313">
        <v>2026</v>
      </c>
      <c r="C313">
        <v>9</v>
      </c>
      <c r="D313" t="s">
        <v>5</v>
      </c>
      <c r="E313" t="s">
        <v>115</v>
      </c>
      <c r="F313" s="3">
        <v>401</v>
      </c>
      <c r="G313" s="3" t="s">
        <v>7</v>
      </c>
      <c r="H313" s="3">
        <v>15289</v>
      </c>
      <c r="I313" s="3">
        <v>13222</v>
      </c>
      <c r="J313" s="3">
        <v>7765</v>
      </c>
      <c r="K313" s="3">
        <v>10174</v>
      </c>
      <c r="L313">
        <f t="shared" si="20"/>
        <v>3048</v>
      </c>
    </row>
    <row r="314" spans="1:12" x14ac:dyDescent="0.3">
      <c r="A314" s="41">
        <v>46266</v>
      </c>
      <c r="B314">
        <v>2026</v>
      </c>
      <c r="C314">
        <v>9</v>
      </c>
      <c r="D314" t="s">
        <v>5</v>
      </c>
      <c r="E314" t="s">
        <v>115</v>
      </c>
      <c r="F314" s="3">
        <v>402</v>
      </c>
      <c r="G314" s="3" t="s">
        <v>8</v>
      </c>
      <c r="H314" s="3">
        <v>28354</v>
      </c>
      <c r="I314" s="3">
        <v>76035</v>
      </c>
      <c r="J314" s="3">
        <v>1262</v>
      </c>
      <c r="K314" s="3">
        <v>4559</v>
      </c>
      <c r="L314">
        <f t="shared" si="20"/>
        <v>71476</v>
      </c>
    </row>
    <row r="315" spans="1:12" x14ac:dyDescent="0.3">
      <c r="A315" s="41">
        <v>46266</v>
      </c>
      <c r="B315">
        <v>2026</v>
      </c>
      <c r="C315">
        <v>9</v>
      </c>
      <c r="D315" t="s">
        <v>5</v>
      </c>
      <c r="E315" t="s">
        <v>115</v>
      </c>
      <c r="F315" s="3">
        <v>403</v>
      </c>
      <c r="G315" s="3" t="s">
        <v>23</v>
      </c>
      <c r="H315" s="3">
        <v>5620</v>
      </c>
      <c r="I315" s="3">
        <v>8284</v>
      </c>
      <c r="J315" s="3">
        <v>8269</v>
      </c>
      <c r="K315" s="3">
        <v>18678</v>
      </c>
      <c r="L315">
        <f t="shared" si="20"/>
        <v>-10394</v>
      </c>
    </row>
    <row r="316" spans="1:12" x14ac:dyDescent="0.3">
      <c r="A316" s="41">
        <v>46266</v>
      </c>
      <c r="B316">
        <v>2026</v>
      </c>
      <c r="C316">
        <v>9</v>
      </c>
      <c r="D316" t="s">
        <v>5</v>
      </c>
      <c r="E316" t="s">
        <v>115</v>
      </c>
      <c r="F316" s="3">
        <v>404</v>
      </c>
      <c r="G316" s="3" t="s">
        <v>9</v>
      </c>
      <c r="H316" s="3">
        <v>13151</v>
      </c>
      <c r="I316" s="3">
        <v>18361</v>
      </c>
      <c r="J316" s="3">
        <v>6052</v>
      </c>
      <c r="K316" s="3">
        <v>13434</v>
      </c>
      <c r="L316">
        <f t="shared" si="20"/>
        <v>4927</v>
      </c>
    </row>
    <row r="317" spans="1:12" x14ac:dyDescent="0.3">
      <c r="A317" s="41">
        <v>46266</v>
      </c>
      <c r="B317">
        <v>2026</v>
      </c>
      <c r="C317">
        <v>9</v>
      </c>
      <c r="D317" t="s">
        <v>5</v>
      </c>
      <c r="E317" t="s">
        <v>115</v>
      </c>
      <c r="F317" s="3">
        <v>405</v>
      </c>
      <c r="G317" s="3" t="s">
        <v>10</v>
      </c>
      <c r="H317" s="3">
        <v>6972</v>
      </c>
      <c r="I317" s="3">
        <v>38494</v>
      </c>
      <c r="J317" s="3">
        <v>2107</v>
      </c>
      <c r="K317" s="3">
        <v>12970</v>
      </c>
      <c r="L317">
        <f t="shared" si="20"/>
        <v>25524</v>
      </c>
    </row>
    <row r="318" spans="1:12" x14ac:dyDescent="0.3">
      <c r="A318" s="41">
        <v>46266</v>
      </c>
      <c r="B318">
        <v>2026</v>
      </c>
      <c r="C318">
        <v>9</v>
      </c>
      <c r="D318" t="s">
        <v>5</v>
      </c>
      <c r="E318" t="s">
        <v>115</v>
      </c>
      <c r="F318" s="3">
        <v>406</v>
      </c>
      <c r="G318" s="3" t="s">
        <v>11</v>
      </c>
      <c r="H318" s="3">
        <v>10942</v>
      </c>
      <c r="I318" s="3">
        <v>49916</v>
      </c>
      <c r="J318" s="3">
        <v>37266</v>
      </c>
      <c r="K318" s="3">
        <v>220682</v>
      </c>
      <c r="L318">
        <f t="shared" si="20"/>
        <v>-170766</v>
      </c>
    </row>
    <row r="319" spans="1:12" x14ac:dyDescent="0.3">
      <c r="A319" s="41">
        <v>46266</v>
      </c>
      <c r="B319">
        <v>2026</v>
      </c>
      <c r="C319">
        <v>9</v>
      </c>
      <c r="D319" t="s">
        <v>5</v>
      </c>
      <c r="E319" t="s">
        <v>115</v>
      </c>
      <c r="F319" s="3">
        <v>2105</v>
      </c>
      <c r="G319" s="3" t="s">
        <v>94</v>
      </c>
      <c r="H319" s="3">
        <v>14986</v>
      </c>
      <c r="I319" s="3">
        <v>55649</v>
      </c>
      <c r="J319" s="3">
        <v>1178</v>
      </c>
      <c r="K319" s="3">
        <v>5311</v>
      </c>
      <c r="L319">
        <f t="shared" si="20"/>
        <v>50338</v>
      </c>
    </row>
    <row r="320" spans="1:12" x14ac:dyDescent="0.3">
      <c r="A320" s="41">
        <v>46266</v>
      </c>
      <c r="B320">
        <v>2026</v>
      </c>
      <c r="C320">
        <v>9</v>
      </c>
      <c r="D320" t="s">
        <v>5</v>
      </c>
      <c r="E320" t="s">
        <v>115</v>
      </c>
      <c r="F320" s="3">
        <v>3501</v>
      </c>
      <c r="G320" s="3" t="s">
        <v>26</v>
      </c>
      <c r="H320" s="3">
        <v>3061</v>
      </c>
      <c r="I320" s="3">
        <v>20400</v>
      </c>
      <c r="J320" s="3">
        <v>92</v>
      </c>
      <c r="K320" s="3">
        <v>614</v>
      </c>
      <c r="L320">
        <f t="shared" si="20"/>
        <v>19786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1805F-7D3D-4E93-8256-B33991E4ACDA}">
  <dimension ref="A1:Q290"/>
  <sheetViews>
    <sheetView workbookViewId="0">
      <pane ySplit="1" topLeftCell="A269" activePane="bottomLeft" state="frozen"/>
      <selection pane="bottomLeft" activeCell="H280" sqref="H280"/>
    </sheetView>
  </sheetViews>
  <sheetFormatPr defaultRowHeight="14.4" x14ac:dyDescent="0.3"/>
  <cols>
    <col min="1" max="1" width="10.33203125" style="31" bestFit="1" customWidth="1"/>
    <col min="2" max="3" width="8.88671875" style="3"/>
    <col min="4" max="5" width="11.33203125" style="3" customWidth="1"/>
    <col min="6" max="6" width="8.88671875" style="3"/>
    <col min="7" max="7" width="9.5546875" style="3" customWidth="1"/>
    <col min="8" max="8" width="13.33203125" style="3" customWidth="1"/>
    <col min="9" max="9" width="14.88671875" style="3" customWidth="1"/>
    <col min="10" max="10" width="13.6640625" style="3" customWidth="1"/>
    <col min="11" max="11" width="15.21875" style="3" customWidth="1"/>
    <col min="12" max="12" width="16" style="3" customWidth="1"/>
    <col min="13" max="16384" width="8.88671875" style="3"/>
  </cols>
  <sheetData>
    <row r="1" spans="1:17" x14ac:dyDescent="0.3">
      <c r="A1" s="30" t="s">
        <v>60</v>
      </c>
      <c r="B1" s="2" t="s">
        <v>0</v>
      </c>
      <c r="C1" s="2" t="s">
        <v>1</v>
      </c>
      <c r="D1" s="2" t="s">
        <v>2</v>
      </c>
      <c r="E1" s="2" t="s">
        <v>81</v>
      </c>
      <c r="F1" s="2" t="s">
        <v>3</v>
      </c>
      <c r="G1" s="2" t="s">
        <v>4</v>
      </c>
      <c r="H1" s="2" t="s">
        <v>61</v>
      </c>
      <c r="I1" s="2" t="s">
        <v>65</v>
      </c>
      <c r="J1" s="2" t="s">
        <v>62</v>
      </c>
      <c r="K1" s="2" t="s">
        <v>63</v>
      </c>
      <c r="L1" s="2" t="s">
        <v>64</v>
      </c>
      <c r="M1" s="2" t="s">
        <v>85</v>
      </c>
    </row>
    <row r="2" spans="1:17" x14ac:dyDescent="0.3">
      <c r="A2" s="31">
        <v>45536</v>
      </c>
      <c r="B2" s="3">
        <v>2024</v>
      </c>
      <c r="C2" s="3">
        <v>9</v>
      </c>
      <c r="D2" s="3" t="s">
        <v>15</v>
      </c>
      <c r="E2" s="32">
        <v>45536</v>
      </c>
      <c r="F2" s="3">
        <v>102</v>
      </c>
      <c r="G2" s="3" t="s">
        <v>43</v>
      </c>
      <c r="H2" s="3">
        <v>2076</v>
      </c>
      <c r="I2" s="3">
        <v>4430.8999999999996</v>
      </c>
      <c r="J2" s="3">
        <v>53.8</v>
      </c>
      <c r="K2" s="3">
        <v>436.7</v>
      </c>
      <c r="L2" s="3">
        <f>I2-K2</f>
        <v>3994.2</v>
      </c>
      <c r="O2" s="32"/>
      <c r="Q2" s="32"/>
    </row>
    <row r="3" spans="1:17" x14ac:dyDescent="0.3">
      <c r="A3" s="31">
        <v>45536</v>
      </c>
      <c r="B3" s="3">
        <v>2024</v>
      </c>
      <c r="C3" s="3">
        <v>9</v>
      </c>
      <c r="D3" s="3" t="s">
        <v>15</v>
      </c>
      <c r="E3" s="32">
        <v>45536</v>
      </c>
      <c r="F3" s="3">
        <v>201</v>
      </c>
      <c r="G3" s="3" t="s">
        <v>44</v>
      </c>
      <c r="H3" s="3">
        <v>0.8</v>
      </c>
      <c r="I3" s="3">
        <v>10.6</v>
      </c>
      <c r="J3" s="3">
        <v>19</v>
      </c>
      <c r="K3" s="3">
        <v>358.5</v>
      </c>
      <c r="L3" s="3">
        <f t="shared" ref="L3:L66" si="0">I3-K3</f>
        <v>-347.9</v>
      </c>
    </row>
    <row r="4" spans="1:17" x14ac:dyDescent="0.3">
      <c r="A4" s="31">
        <v>45536</v>
      </c>
      <c r="B4" s="3">
        <v>2024</v>
      </c>
      <c r="C4" s="3">
        <v>9</v>
      </c>
      <c r="D4" s="3" t="s">
        <v>15</v>
      </c>
      <c r="E4" s="32">
        <v>45536</v>
      </c>
      <c r="F4" s="3">
        <v>202</v>
      </c>
      <c r="G4" s="3" t="s">
        <v>45</v>
      </c>
      <c r="H4" s="3">
        <v>1589.9</v>
      </c>
      <c r="I4" s="3">
        <v>6136.7</v>
      </c>
      <c r="J4" s="3">
        <v>224</v>
      </c>
      <c r="K4" s="3">
        <v>1185.7</v>
      </c>
      <c r="L4" s="3">
        <f t="shared" si="0"/>
        <v>4951</v>
      </c>
    </row>
    <row r="5" spans="1:17" x14ac:dyDescent="0.3">
      <c r="A5" s="31">
        <v>45870</v>
      </c>
      <c r="B5" s="3">
        <v>2025</v>
      </c>
      <c r="C5" s="3">
        <v>8</v>
      </c>
      <c r="D5" s="3" t="s">
        <v>16</v>
      </c>
      <c r="E5" s="32">
        <v>45870</v>
      </c>
      <c r="F5" s="3">
        <v>102</v>
      </c>
      <c r="G5" s="3" t="s">
        <v>43</v>
      </c>
      <c r="H5" s="3">
        <v>1011</v>
      </c>
      <c r="I5" s="3">
        <v>2781</v>
      </c>
      <c r="J5" s="3">
        <v>18</v>
      </c>
      <c r="K5" s="3">
        <v>131</v>
      </c>
      <c r="L5" s="3">
        <f t="shared" si="0"/>
        <v>2650</v>
      </c>
    </row>
    <row r="6" spans="1:17" x14ac:dyDescent="0.3">
      <c r="A6" s="31">
        <v>45870</v>
      </c>
      <c r="B6" s="3">
        <v>2025</v>
      </c>
      <c r="C6" s="3">
        <v>8</v>
      </c>
      <c r="D6" s="3" t="s">
        <v>16</v>
      </c>
      <c r="E6" s="32">
        <v>45870</v>
      </c>
      <c r="F6" s="3">
        <v>201</v>
      </c>
      <c r="G6" s="3" t="s">
        <v>44</v>
      </c>
      <c r="H6" s="3">
        <v>19</v>
      </c>
      <c r="I6" s="3">
        <v>105</v>
      </c>
      <c r="J6" s="3">
        <v>15</v>
      </c>
      <c r="K6" s="3">
        <v>425</v>
      </c>
      <c r="L6" s="3">
        <f t="shared" si="0"/>
        <v>-320</v>
      </c>
    </row>
    <row r="7" spans="1:17" x14ac:dyDescent="0.3">
      <c r="A7" s="31">
        <v>45870</v>
      </c>
      <c r="B7" s="3">
        <v>2025</v>
      </c>
      <c r="C7" s="3">
        <v>8</v>
      </c>
      <c r="D7" s="3" t="s">
        <v>16</v>
      </c>
      <c r="E7" s="32">
        <v>45870</v>
      </c>
      <c r="F7" s="3">
        <v>202</v>
      </c>
      <c r="G7" s="3" t="s">
        <v>45</v>
      </c>
      <c r="H7" s="3">
        <v>1356</v>
      </c>
      <c r="I7" s="3">
        <v>6193</v>
      </c>
      <c r="J7" s="3">
        <v>61</v>
      </c>
      <c r="K7" s="3">
        <v>528</v>
      </c>
      <c r="L7" s="3">
        <f t="shared" si="0"/>
        <v>5665</v>
      </c>
    </row>
    <row r="8" spans="1:17" x14ac:dyDescent="0.3">
      <c r="A8" s="31">
        <v>45901</v>
      </c>
      <c r="B8" s="3">
        <v>2025</v>
      </c>
      <c r="C8" s="3">
        <v>9</v>
      </c>
      <c r="D8" s="3" t="s">
        <v>15</v>
      </c>
      <c r="E8" s="32">
        <v>45901</v>
      </c>
      <c r="F8" s="3">
        <v>102</v>
      </c>
      <c r="G8" s="3" t="s">
        <v>43</v>
      </c>
      <c r="H8" s="3">
        <v>558</v>
      </c>
      <c r="I8" s="3">
        <v>782</v>
      </c>
      <c r="J8" s="3">
        <v>0</v>
      </c>
      <c r="K8" s="3">
        <v>0</v>
      </c>
      <c r="L8" s="3">
        <f t="shared" si="0"/>
        <v>782</v>
      </c>
    </row>
    <row r="9" spans="1:17" x14ac:dyDescent="0.3">
      <c r="A9" s="31">
        <v>45901</v>
      </c>
      <c r="B9" s="3">
        <v>2025</v>
      </c>
      <c r="C9" s="3">
        <v>9</v>
      </c>
      <c r="D9" s="3" t="s">
        <v>15</v>
      </c>
      <c r="E9" s="32">
        <v>45901</v>
      </c>
      <c r="F9" s="3">
        <v>201</v>
      </c>
      <c r="G9" s="3" t="s">
        <v>44</v>
      </c>
      <c r="H9" s="3">
        <v>104</v>
      </c>
      <c r="I9" s="3">
        <v>621</v>
      </c>
      <c r="J9" s="3">
        <v>11</v>
      </c>
      <c r="K9" s="3">
        <v>203</v>
      </c>
      <c r="L9" s="3">
        <f t="shared" si="0"/>
        <v>418</v>
      </c>
    </row>
    <row r="10" spans="1:17" x14ac:dyDescent="0.3">
      <c r="A10" s="31">
        <v>45901</v>
      </c>
      <c r="B10" s="3">
        <v>2025</v>
      </c>
      <c r="C10" s="3">
        <v>9</v>
      </c>
      <c r="D10" s="3" t="s">
        <v>15</v>
      </c>
      <c r="E10" s="32">
        <v>45901</v>
      </c>
      <c r="F10" s="3">
        <v>202</v>
      </c>
      <c r="G10" s="3" t="s">
        <v>45</v>
      </c>
      <c r="H10" s="3">
        <v>1174</v>
      </c>
      <c r="I10" s="3">
        <v>5451</v>
      </c>
      <c r="J10" s="3">
        <v>72</v>
      </c>
      <c r="K10" s="3">
        <v>676</v>
      </c>
      <c r="L10" s="3">
        <f t="shared" si="0"/>
        <v>4775</v>
      </c>
    </row>
    <row r="11" spans="1:17" x14ac:dyDescent="0.3">
      <c r="A11" s="31">
        <v>45901</v>
      </c>
      <c r="B11" s="3">
        <v>2025</v>
      </c>
      <c r="C11" s="3">
        <v>9</v>
      </c>
      <c r="D11" s="3" t="s">
        <v>15</v>
      </c>
      <c r="E11" s="32">
        <v>45901</v>
      </c>
      <c r="F11" s="3">
        <v>401</v>
      </c>
      <c r="G11" s="3" t="s">
        <v>7</v>
      </c>
      <c r="H11" s="3">
        <v>2079</v>
      </c>
      <c r="I11" s="3">
        <v>1709</v>
      </c>
      <c r="J11" s="3">
        <v>554</v>
      </c>
      <c r="K11" s="3">
        <v>676</v>
      </c>
      <c r="L11" s="3">
        <f t="shared" si="0"/>
        <v>1033</v>
      </c>
    </row>
    <row r="12" spans="1:17" x14ac:dyDescent="0.3">
      <c r="A12" s="31">
        <v>45901</v>
      </c>
      <c r="B12" s="3">
        <v>2025</v>
      </c>
      <c r="C12" s="3">
        <v>9</v>
      </c>
      <c r="D12" s="3" t="s">
        <v>15</v>
      </c>
      <c r="E12" s="32">
        <v>45901</v>
      </c>
      <c r="F12" s="3">
        <v>402</v>
      </c>
      <c r="G12" s="3" t="s">
        <v>8</v>
      </c>
      <c r="H12" s="3">
        <v>1816</v>
      </c>
      <c r="I12" s="3">
        <v>4560</v>
      </c>
      <c r="J12" s="3">
        <v>266</v>
      </c>
      <c r="K12" s="3">
        <v>1198</v>
      </c>
      <c r="L12" s="3">
        <f t="shared" si="0"/>
        <v>3362</v>
      </c>
    </row>
    <row r="13" spans="1:17" x14ac:dyDescent="0.3">
      <c r="A13" s="31">
        <v>45901</v>
      </c>
      <c r="B13" s="3">
        <v>2025</v>
      </c>
      <c r="C13" s="3">
        <v>9</v>
      </c>
      <c r="D13" s="3" t="s">
        <v>15</v>
      </c>
      <c r="E13" s="32">
        <v>45901</v>
      </c>
      <c r="F13" s="3">
        <v>403</v>
      </c>
      <c r="G13" s="3" t="s">
        <v>23</v>
      </c>
      <c r="H13" s="3">
        <v>580</v>
      </c>
      <c r="I13" s="3">
        <v>936</v>
      </c>
      <c r="J13" s="3">
        <v>632</v>
      </c>
      <c r="K13" s="3">
        <v>1435</v>
      </c>
      <c r="L13" s="3">
        <f t="shared" si="0"/>
        <v>-499</v>
      </c>
    </row>
    <row r="14" spans="1:17" x14ac:dyDescent="0.3">
      <c r="A14" s="31">
        <v>45901</v>
      </c>
      <c r="B14" s="3">
        <v>2025</v>
      </c>
      <c r="C14" s="3">
        <v>9</v>
      </c>
      <c r="D14" s="3" t="s">
        <v>15</v>
      </c>
      <c r="E14" s="32">
        <v>45901</v>
      </c>
      <c r="F14" s="3">
        <v>404</v>
      </c>
      <c r="G14" s="3" t="s">
        <v>9</v>
      </c>
      <c r="H14" s="3">
        <v>1051</v>
      </c>
      <c r="I14" s="3">
        <v>1136</v>
      </c>
      <c r="J14" s="3">
        <v>959</v>
      </c>
      <c r="K14" s="3">
        <v>1796</v>
      </c>
      <c r="L14" s="3">
        <f t="shared" si="0"/>
        <v>-660</v>
      </c>
    </row>
    <row r="15" spans="1:17" x14ac:dyDescent="0.3">
      <c r="A15" s="31">
        <v>45901</v>
      </c>
      <c r="B15" s="3">
        <v>2025</v>
      </c>
      <c r="C15" s="3">
        <v>9</v>
      </c>
      <c r="D15" s="3" t="s">
        <v>15</v>
      </c>
      <c r="E15" s="32">
        <v>45901</v>
      </c>
      <c r="F15" s="3">
        <v>405</v>
      </c>
      <c r="G15" s="3" t="s">
        <v>10</v>
      </c>
      <c r="H15" s="3">
        <v>916</v>
      </c>
      <c r="I15" s="3">
        <v>6855</v>
      </c>
      <c r="J15" s="3">
        <v>246</v>
      </c>
      <c r="K15" s="3">
        <v>2326</v>
      </c>
      <c r="L15" s="3">
        <f t="shared" si="0"/>
        <v>4529</v>
      </c>
    </row>
    <row r="16" spans="1:17" x14ac:dyDescent="0.3">
      <c r="A16" s="31">
        <v>45901</v>
      </c>
      <c r="B16" s="3">
        <v>2025</v>
      </c>
      <c r="C16" s="3">
        <v>9</v>
      </c>
      <c r="D16" s="3" t="s">
        <v>15</v>
      </c>
      <c r="E16" s="32">
        <v>45901</v>
      </c>
      <c r="F16" s="3">
        <v>406</v>
      </c>
      <c r="G16" s="3" t="s">
        <v>11</v>
      </c>
      <c r="H16" s="3">
        <v>1214</v>
      </c>
      <c r="I16" s="3">
        <v>5465</v>
      </c>
      <c r="J16" s="3">
        <v>3610</v>
      </c>
      <c r="K16" s="3">
        <v>24122</v>
      </c>
      <c r="L16" s="3">
        <f t="shared" si="0"/>
        <v>-18657</v>
      </c>
    </row>
    <row r="17" spans="1:12" x14ac:dyDescent="0.3">
      <c r="A17" s="31">
        <v>45901</v>
      </c>
      <c r="B17" s="3">
        <v>2025</v>
      </c>
      <c r="C17" s="3">
        <v>9</v>
      </c>
      <c r="D17" s="3" t="s">
        <v>15</v>
      </c>
      <c r="E17" s="32">
        <v>45901</v>
      </c>
      <c r="F17" s="3">
        <v>2105</v>
      </c>
      <c r="G17" s="3" t="s">
        <v>25</v>
      </c>
      <c r="H17" s="3">
        <v>690</v>
      </c>
      <c r="I17" s="3">
        <v>2601</v>
      </c>
      <c r="J17" s="3">
        <v>37</v>
      </c>
      <c r="K17" s="3">
        <v>184</v>
      </c>
      <c r="L17" s="3">
        <f t="shared" si="0"/>
        <v>2417</v>
      </c>
    </row>
    <row r="18" spans="1:12" x14ac:dyDescent="0.3">
      <c r="A18" s="31">
        <v>45901</v>
      </c>
      <c r="B18" s="3">
        <v>2025</v>
      </c>
      <c r="C18" s="3">
        <v>9</v>
      </c>
      <c r="D18" s="3" t="s">
        <v>15</v>
      </c>
      <c r="E18" s="32">
        <v>45901</v>
      </c>
      <c r="F18" s="3">
        <v>3501</v>
      </c>
      <c r="G18" s="3" t="s">
        <v>26</v>
      </c>
      <c r="H18" s="3">
        <v>307</v>
      </c>
      <c r="I18" s="3">
        <v>1873</v>
      </c>
      <c r="J18" s="3">
        <v>3</v>
      </c>
      <c r="K18" s="3">
        <v>20</v>
      </c>
      <c r="L18" s="3">
        <f t="shared" si="0"/>
        <v>1853</v>
      </c>
    </row>
    <row r="19" spans="1:12" x14ac:dyDescent="0.3">
      <c r="A19" s="31">
        <v>45870</v>
      </c>
      <c r="B19" s="3">
        <v>2025</v>
      </c>
      <c r="C19" s="3">
        <v>8</v>
      </c>
      <c r="D19" s="3" t="s">
        <v>16</v>
      </c>
      <c r="E19" s="32">
        <v>45870</v>
      </c>
      <c r="F19" s="3">
        <v>401</v>
      </c>
      <c r="G19" s="3" t="s">
        <v>7</v>
      </c>
      <c r="H19" s="3">
        <v>1864</v>
      </c>
      <c r="I19" s="3">
        <v>1536</v>
      </c>
      <c r="J19" s="3">
        <v>181</v>
      </c>
      <c r="K19" s="3">
        <v>361</v>
      </c>
      <c r="L19" s="3">
        <f t="shared" si="0"/>
        <v>1175</v>
      </c>
    </row>
    <row r="20" spans="1:12" x14ac:dyDescent="0.3">
      <c r="A20" s="31">
        <v>45870</v>
      </c>
      <c r="B20" s="3">
        <v>2025</v>
      </c>
      <c r="C20" s="3">
        <v>8</v>
      </c>
      <c r="D20" s="3" t="s">
        <v>16</v>
      </c>
      <c r="E20" s="32">
        <v>45870</v>
      </c>
      <c r="F20" s="3">
        <v>402</v>
      </c>
      <c r="G20" s="3" t="s">
        <v>8</v>
      </c>
      <c r="H20" s="3">
        <v>2262</v>
      </c>
      <c r="I20" s="3">
        <v>5717</v>
      </c>
      <c r="J20" s="3">
        <v>262</v>
      </c>
      <c r="K20" s="3">
        <v>805</v>
      </c>
      <c r="L20" s="3">
        <f t="shared" si="0"/>
        <v>4912</v>
      </c>
    </row>
    <row r="21" spans="1:12" x14ac:dyDescent="0.3">
      <c r="A21" s="31">
        <v>45870</v>
      </c>
      <c r="B21" s="3">
        <v>2025</v>
      </c>
      <c r="C21" s="3">
        <v>8</v>
      </c>
      <c r="D21" s="3" t="s">
        <v>16</v>
      </c>
      <c r="E21" s="32">
        <v>45870</v>
      </c>
      <c r="F21" s="3">
        <v>403</v>
      </c>
      <c r="G21" s="3" t="s">
        <v>23</v>
      </c>
      <c r="H21" s="3">
        <v>588</v>
      </c>
      <c r="I21" s="3">
        <v>831</v>
      </c>
      <c r="J21" s="3">
        <v>701</v>
      </c>
      <c r="K21" s="3">
        <v>1569</v>
      </c>
      <c r="L21" s="3">
        <f t="shared" si="0"/>
        <v>-738</v>
      </c>
    </row>
    <row r="22" spans="1:12" x14ac:dyDescent="0.3">
      <c r="A22" s="31">
        <v>45870</v>
      </c>
      <c r="B22" s="3">
        <v>2025</v>
      </c>
      <c r="C22" s="3">
        <v>8</v>
      </c>
      <c r="D22" s="3" t="s">
        <v>16</v>
      </c>
      <c r="E22" s="32">
        <v>45870</v>
      </c>
      <c r="F22" s="3">
        <v>404</v>
      </c>
      <c r="G22" s="3" t="s">
        <v>9</v>
      </c>
      <c r="H22" s="3">
        <v>1148</v>
      </c>
      <c r="I22" s="3">
        <v>1186</v>
      </c>
      <c r="J22" s="3">
        <v>497</v>
      </c>
      <c r="K22" s="3">
        <v>971</v>
      </c>
      <c r="L22" s="3">
        <f t="shared" si="0"/>
        <v>215</v>
      </c>
    </row>
    <row r="23" spans="1:12" x14ac:dyDescent="0.3">
      <c r="A23" s="31">
        <v>45870</v>
      </c>
      <c r="B23" s="3">
        <v>2025</v>
      </c>
      <c r="C23" s="3">
        <v>8</v>
      </c>
      <c r="D23" s="3" t="s">
        <v>16</v>
      </c>
      <c r="E23" s="32">
        <v>45870</v>
      </c>
      <c r="F23" s="3">
        <v>405</v>
      </c>
      <c r="G23" s="3" t="s">
        <v>10</v>
      </c>
      <c r="H23" s="3">
        <v>1131</v>
      </c>
      <c r="I23" s="3">
        <v>8457</v>
      </c>
      <c r="J23" s="3">
        <v>86</v>
      </c>
      <c r="K23" s="3">
        <v>937</v>
      </c>
      <c r="L23" s="3">
        <f t="shared" si="0"/>
        <v>7520</v>
      </c>
    </row>
    <row r="24" spans="1:12" x14ac:dyDescent="0.3">
      <c r="A24" s="31">
        <v>45870</v>
      </c>
      <c r="B24" s="3">
        <v>2025</v>
      </c>
      <c r="C24" s="3">
        <v>8</v>
      </c>
      <c r="D24" s="3" t="s">
        <v>16</v>
      </c>
      <c r="E24" s="32">
        <v>45870</v>
      </c>
      <c r="F24" s="3">
        <v>406</v>
      </c>
      <c r="G24" s="3" t="s">
        <v>11</v>
      </c>
      <c r="H24" s="3">
        <v>1261</v>
      </c>
      <c r="I24" s="3">
        <v>5640</v>
      </c>
      <c r="J24" s="3">
        <v>3309</v>
      </c>
      <c r="K24" s="3">
        <v>21594</v>
      </c>
      <c r="L24" s="3">
        <f t="shared" si="0"/>
        <v>-15954</v>
      </c>
    </row>
    <row r="25" spans="1:12" x14ac:dyDescent="0.3">
      <c r="A25" s="31">
        <v>45870</v>
      </c>
      <c r="B25" s="3">
        <v>2025</v>
      </c>
      <c r="C25" s="3">
        <v>8</v>
      </c>
      <c r="D25" s="3" t="s">
        <v>16</v>
      </c>
      <c r="E25" s="32">
        <v>45870</v>
      </c>
      <c r="F25" s="3">
        <v>2105</v>
      </c>
      <c r="G25" s="3" t="s">
        <v>25</v>
      </c>
      <c r="H25" s="3">
        <v>1580</v>
      </c>
      <c r="I25" s="3">
        <v>5886</v>
      </c>
      <c r="J25" s="3">
        <v>142</v>
      </c>
      <c r="K25" s="3">
        <v>641</v>
      </c>
      <c r="L25" s="3">
        <f t="shared" si="0"/>
        <v>5245</v>
      </c>
    </row>
    <row r="26" spans="1:12" x14ac:dyDescent="0.3">
      <c r="A26" s="31">
        <v>45870</v>
      </c>
      <c r="B26" s="3">
        <v>2025</v>
      </c>
      <c r="C26" s="3">
        <v>8</v>
      </c>
      <c r="D26" s="3" t="s">
        <v>16</v>
      </c>
      <c r="E26" s="32">
        <v>45870</v>
      </c>
      <c r="F26" s="3">
        <v>3501</v>
      </c>
      <c r="G26" s="3" t="s">
        <v>26</v>
      </c>
      <c r="H26" s="3">
        <v>332</v>
      </c>
      <c r="I26" s="3">
        <v>2023</v>
      </c>
      <c r="J26" s="3">
        <v>16</v>
      </c>
      <c r="K26" s="3">
        <v>103</v>
      </c>
      <c r="L26" s="3">
        <f t="shared" si="0"/>
        <v>1920</v>
      </c>
    </row>
    <row r="27" spans="1:12" x14ac:dyDescent="0.3">
      <c r="A27" s="31">
        <v>45566</v>
      </c>
      <c r="B27" s="3">
        <v>2024</v>
      </c>
      <c r="C27" s="3">
        <v>10</v>
      </c>
      <c r="D27" s="3" t="s">
        <v>17</v>
      </c>
      <c r="E27" s="32">
        <v>45566</v>
      </c>
      <c r="F27" s="3">
        <v>102</v>
      </c>
      <c r="G27" s="3" t="s">
        <v>43</v>
      </c>
      <c r="H27" s="3">
        <v>2400.1</v>
      </c>
      <c r="I27" s="3">
        <v>5075.3</v>
      </c>
      <c r="J27" s="3">
        <v>0</v>
      </c>
      <c r="K27" s="3">
        <v>0</v>
      </c>
      <c r="L27" s="3">
        <f t="shared" si="0"/>
        <v>5075.3</v>
      </c>
    </row>
    <row r="28" spans="1:12" x14ac:dyDescent="0.3">
      <c r="A28" s="31">
        <v>45566</v>
      </c>
      <c r="B28" s="3">
        <v>2024</v>
      </c>
      <c r="C28" s="3">
        <v>10</v>
      </c>
      <c r="D28" s="3" t="s">
        <v>17</v>
      </c>
      <c r="E28" s="32">
        <v>45566</v>
      </c>
      <c r="F28" s="3">
        <v>201</v>
      </c>
      <c r="G28" s="3" t="s">
        <v>44</v>
      </c>
      <c r="H28" s="3">
        <v>0.6</v>
      </c>
      <c r="I28" s="3">
        <v>7.6</v>
      </c>
      <c r="J28" s="3">
        <v>16.100000000000001</v>
      </c>
      <c r="K28" s="3">
        <v>237.4</v>
      </c>
      <c r="L28" s="3">
        <f t="shared" si="0"/>
        <v>-229.8</v>
      </c>
    </row>
    <row r="29" spans="1:12" x14ac:dyDescent="0.3">
      <c r="A29" s="31">
        <v>45566</v>
      </c>
      <c r="B29" s="3">
        <v>2024</v>
      </c>
      <c r="C29" s="3">
        <v>10</v>
      </c>
      <c r="D29" s="3" t="s">
        <v>17</v>
      </c>
      <c r="E29" s="32">
        <v>45566</v>
      </c>
      <c r="F29" s="3">
        <v>202</v>
      </c>
      <c r="G29" s="3" t="s">
        <v>45</v>
      </c>
      <c r="H29" s="3">
        <v>2166.6</v>
      </c>
      <c r="I29" s="3">
        <v>8190.1</v>
      </c>
      <c r="J29" s="3">
        <v>199.9</v>
      </c>
      <c r="K29" s="3">
        <v>1156.9000000000001</v>
      </c>
      <c r="L29" s="3">
        <f t="shared" si="0"/>
        <v>7033.2000000000007</v>
      </c>
    </row>
    <row r="30" spans="1:12" x14ac:dyDescent="0.3">
      <c r="A30" s="31">
        <v>45566</v>
      </c>
      <c r="B30" s="3">
        <v>2024</v>
      </c>
      <c r="C30" s="3">
        <v>10</v>
      </c>
      <c r="D30" s="3" t="s">
        <v>17</v>
      </c>
      <c r="E30" s="32">
        <v>45566</v>
      </c>
      <c r="F30" s="3">
        <v>401</v>
      </c>
      <c r="G30" s="3" t="s">
        <v>7</v>
      </c>
      <c r="H30" s="3">
        <v>2563.4</v>
      </c>
      <c r="I30" s="3">
        <v>1822.7</v>
      </c>
      <c r="J30" s="3">
        <v>214</v>
      </c>
      <c r="K30" s="3">
        <v>401.9</v>
      </c>
      <c r="L30" s="3">
        <f t="shared" si="0"/>
        <v>1420.8000000000002</v>
      </c>
    </row>
    <row r="31" spans="1:12" x14ac:dyDescent="0.3">
      <c r="A31" s="31">
        <v>45566</v>
      </c>
      <c r="B31" s="3">
        <v>2024</v>
      </c>
      <c r="C31" s="3">
        <v>10</v>
      </c>
      <c r="D31" s="3" t="s">
        <v>17</v>
      </c>
      <c r="E31" s="32">
        <v>45566</v>
      </c>
      <c r="F31" s="3">
        <v>402</v>
      </c>
      <c r="G31" s="3" t="s">
        <v>8</v>
      </c>
      <c r="H31" s="3">
        <v>2095.1</v>
      </c>
      <c r="I31" s="3">
        <v>5217.3999999999996</v>
      </c>
      <c r="J31" s="3">
        <v>220.1</v>
      </c>
      <c r="K31" s="3">
        <v>723.3</v>
      </c>
      <c r="L31" s="3">
        <f t="shared" si="0"/>
        <v>4494.0999999999995</v>
      </c>
    </row>
    <row r="32" spans="1:12" x14ac:dyDescent="0.3">
      <c r="A32" s="31">
        <v>45566</v>
      </c>
      <c r="B32" s="3">
        <v>2024</v>
      </c>
      <c r="C32" s="3">
        <v>10</v>
      </c>
      <c r="D32" s="3" t="s">
        <v>17</v>
      </c>
      <c r="E32" s="32">
        <v>45566</v>
      </c>
      <c r="F32" s="3">
        <v>403</v>
      </c>
      <c r="G32" s="3" t="s">
        <v>23</v>
      </c>
      <c r="H32" s="3">
        <v>441.9</v>
      </c>
      <c r="I32" s="3">
        <v>625.29999999999995</v>
      </c>
      <c r="J32" s="3">
        <v>713.1</v>
      </c>
      <c r="K32" s="3">
        <v>1446.4</v>
      </c>
      <c r="L32" s="3">
        <f t="shared" si="0"/>
        <v>-821.10000000000014</v>
      </c>
    </row>
    <row r="33" spans="1:12" x14ac:dyDescent="0.3">
      <c r="A33" s="31">
        <v>45566</v>
      </c>
      <c r="B33" s="3">
        <v>2024</v>
      </c>
      <c r="C33" s="3">
        <v>10</v>
      </c>
      <c r="D33" s="3" t="s">
        <v>17</v>
      </c>
      <c r="E33" s="32">
        <v>45566</v>
      </c>
      <c r="F33" s="3">
        <v>404</v>
      </c>
      <c r="G33" s="3" t="s">
        <v>9</v>
      </c>
      <c r="H33" s="3">
        <v>811.1</v>
      </c>
      <c r="I33" s="3">
        <v>693.2</v>
      </c>
      <c r="J33" s="3">
        <v>512.4</v>
      </c>
      <c r="K33" s="3">
        <v>897</v>
      </c>
      <c r="L33" s="3">
        <f t="shared" si="0"/>
        <v>-203.79999999999995</v>
      </c>
    </row>
    <row r="34" spans="1:12" x14ac:dyDescent="0.3">
      <c r="A34" s="31">
        <v>45566</v>
      </c>
      <c r="B34" s="3">
        <v>2024</v>
      </c>
      <c r="C34" s="3">
        <v>10</v>
      </c>
      <c r="D34" s="3" t="s">
        <v>17</v>
      </c>
      <c r="E34" s="32">
        <v>45566</v>
      </c>
      <c r="F34" s="3">
        <v>405</v>
      </c>
      <c r="G34" s="3" t="s">
        <v>10</v>
      </c>
      <c r="H34" s="3">
        <v>805.6</v>
      </c>
      <c r="I34" s="3">
        <v>6095.7</v>
      </c>
      <c r="J34" s="3">
        <v>149</v>
      </c>
      <c r="K34" s="3">
        <v>1333</v>
      </c>
      <c r="L34" s="3">
        <f t="shared" si="0"/>
        <v>4762.7</v>
      </c>
    </row>
    <row r="35" spans="1:12" x14ac:dyDescent="0.3">
      <c r="A35" s="31">
        <v>45566</v>
      </c>
      <c r="B35" s="3">
        <v>2024</v>
      </c>
      <c r="C35" s="3">
        <v>10</v>
      </c>
      <c r="D35" s="3" t="s">
        <v>17</v>
      </c>
      <c r="E35" s="32">
        <v>45566</v>
      </c>
      <c r="F35" s="3">
        <v>406</v>
      </c>
      <c r="G35" s="3" t="s">
        <v>11</v>
      </c>
      <c r="H35" s="3">
        <v>1412.1</v>
      </c>
      <c r="I35" s="3">
        <v>6174.5</v>
      </c>
      <c r="J35" s="3">
        <v>3082.2</v>
      </c>
      <c r="K35" s="3">
        <v>18293.8</v>
      </c>
      <c r="L35" s="3">
        <f t="shared" si="0"/>
        <v>-12119.3</v>
      </c>
    </row>
    <row r="36" spans="1:12" x14ac:dyDescent="0.3">
      <c r="A36" s="31">
        <v>45566</v>
      </c>
      <c r="B36" s="3">
        <v>2024</v>
      </c>
      <c r="C36" s="3">
        <v>10</v>
      </c>
      <c r="D36" s="3" t="s">
        <v>17</v>
      </c>
      <c r="E36" s="32">
        <v>45566</v>
      </c>
      <c r="F36" s="3">
        <v>2105</v>
      </c>
      <c r="G36" s="3" t="s">
        <v>25</v>
      </c>
      <c r="H36" s="3">
        <v>415.6</v>
      </c>
      <c r="I36" s="3">
        <v>1495.3</v>
      </c>
      <c r="J36" s="3">
        <v>28.9</v>
      </c>
      <c r="K36" s="3">
        <v>148.30000000000001</v>
      </c>
      <c r="L36" s="3">
        <f t="shared" si="0"/>
        <v>1347</v>
      </c>
    </row>
    <row r="37" spans="1:12" x14ac:dyDescent="0.3">
      <c r="A37" s="31">
        <v>45566</v>
      </c>
      <c r="B37" s="3">
        <v>2024</v>
      </c>
      <c r="C37" s="3">
        <v>10</v>
      </c>
      <c r="D37" s="3" t="s">
        <v>17</v>
      </c>
      <c r="E37" s="32">
        <v>45566</v>
      </c>
      <c r="F37" s="3">
        <v>3501</v>
      </c>
      <c r="G37" s="3" t="s">
        <v>26</v>
      </c>
      <c r="H37" s="3">
        <v>0</v>
      </c>
      <c r="I37" s="3">
        <v>0</v>
      </c>
      <c r="J37" s="3">
        <v>0</v>
      </c>
      <c r="K37" s="3">
        <v>0</v>
      </c>
      <c r="L37" s="3">
        <f t="shared" si="0"/>
        <v>0</v>
      </c>
    </row>
    <row r="38" spans="1:12" x14ac:dyDescent="0.3">
      <c r="A38" s="31">
        <v>45597</v>
      </c>
      <c r="B38" s="3">
        <v>2024</v>
      </c>
      <c r="C38" s="3">
        <v>11</v>
      </c>
      <c r="D38" s="3" t="s">
        <v>18</v>
      </c>
      <c r="E38" s="32">
        <v>45597</v>
      </c>
      <c r="F38" s="3">
        <v>102</v>
      </c>
      <c r="G38" s="3" t="s">
        <v>43</v>
      </c>
      <c r="H38" s="3">
        <v>1266.8999999999996</v>
      </c>
      <c r="I38" s="3">
        <v>5075.3999999999978</v>
      </c>
      <c r="J38" s="3">
        <v>0</v>
      </c>
      <c r="K38" s="3">
        <v>0</v>
      </c>
      <c r="L38" s="3">
        <f t="shared" si="0"/>
        <v>5075.3999999999978</v>
      </c>
    </row>
    <row r="39" spans="1:12" x14ac:dyDescent="0.3">
      <c r="A39" s="31">
        <v>45597</v>
      </c>
      <c r="B39" s="3">
        <v>2024</v>
      </c>
      <c r="C39" s="3">
        <v>11</v>
      </c>
      <c r="D39" s="3" t="s">
        <v>18</v>
      </c>
      <c r="E39" s="32">
        <v>45597</v>
      </c>
      <c r="F39" s="3">
        <v>201</v>
      </c>
      <c r="G39" s="3" t="s">
        <v>44</v>
      </c>
      <c r="H39" s="3">
        <v>0.39999999999997726</v>
      </c>
      <c r="I39" s="3">
        <v>7</v>
      </c>
      <c r="J39" s="3">
        <v>12.900000000000006</v>
      </c>
      <c r="K39" s="3">
        <v>293.59999999999991</v>
      </c>
      <c r="L39" s="3">
        <f t="shared" si="0"/>
        <v>-286.59999999999991</v>
      </c>
    </row>
    <row r="40" spans="1:12" x14ac:dyDescent="0.3">
      <c r="A40" s="31">
        <v>45597</v>
      </c>
      <c r="B40" s="3">
        <v>2024</v>
      </c>
      <c r="C40" s="3">
        <v>11</v>
      </c>
      <c r="D40" s="3" t="s">
        <v>18</v>
      </c>
      <c r="E40" s="32">
        <v>45597</v>
      </c>
      <c r="F40" s="3">
        <v>202</v>
      </c>
      <c r="G40" s="3" t="s">
        <v>45</v>
      </c>
      <c r="H40" s="3">
        <v>1995.3999999999996</v>
      </c>
      <c r="I40" s="3">
        <v>8282.4000000000015</v>
      </c>
      <c r="J40" s="3">
        <v>220.09999999999991</v>
      </c>
      <c r="K40" s="3">
        <v>1233.1000000000004</v>
      </c>
      <c r="L40" s="3">
        <f t="shared" si="0"/>
        <v>7049.3000000000011</v>
      </c>
    </row>
    <row r="41" spans="1:12" x14ac:dyDescent="0.3">
      <c r="A41" s="31">
        <v>45597</v>
      </c>
      <c r="B41" s="3">
        <v>2024</v>
      </c>
      <c r="C41" s="3">
        <v>11</v>
      </c>
      <c r="D41" s="3" t="s">
        <v>18</v>
      </c>
      <c r="E41" s="32">
        <v>45597</v>
      </c>
      <c r="F41" s="3">
        <v>401</v>
      </c>
      <c r="G41" s="3" t="s">
        <v>7</v>
      </c>
      <c r="H41" s="3">
        <v>1909.5999999999985</v>
      </c>
      <c r="I41" s="3">
        <v>1431.2999999999993</v>
      </c>
      <c r="J41" s="3">
        <v>159</v>
      </c>
      <c r="K41" s="3">
        <v>317.09999999999991</v>
      </c>
      <c r="L41" s="3">
        <f t="shared" si="0"/>
        <v>1114.1999999999994</v>
      </c>
    </row>
    <row r="42" spans="1:12" x14ac:dyDescent="0.3">
      <c r="A42" s="31">
        <v>45597</v>
      </c>
      <c r="B42" s="3">
        <v>2024</v>
      </c>
      <c r="C42" s="3">
        <v>11</v>
      </c>
      <c r="D42" s="3" t="s">
        <v>18</v>
      </c>
      <c r="E42" s="32">
        <v>45597</v>
      </c>
      <c r="F42" s="3">
        <v>402</v>
      </c>
      <c r="G42" s="3" t="s">
        <v>8</v>
      </c>
      <c r="H42" s="3">
        <v>2361.9000000000015</v>
      </c>
      <c r="I42" s="3">
        <v>6212.5999999999985</v>
      </c>
      <c r="J42" s="3">
        <v>141.90000000000009</v>
      </c>
      <c r="K42" s="3">
        <v>473.69999999999982</v>
      </c>
      <c r="L42" s="3">
        <f t="shared" si="0"/>
        <v>5738.8999999999987</v>
      </c>
    </row>
    <row r="43" spans="1:12" x14ac:dyDescent="0.3">
      <c r="A43" s="31">
        <v>45597</v>
      </c>
      <c r="B43" s="3">
        <v>2024</v>
      </c>
      <c r="C43" s="3">
        <v>11</v>
      </c>
      <c r="D43" s="3" t="s">
        <v>18</v>
      </c>
      <c r="E43" s="32">
        <v>45597</v>
      </c>
      <c r="F43" s="3">
        <v>403</v>
      </c>
      <c r="G43" s="3" t="s">
        <v>23</v>
      </c>
      <c r="H43" s="3">
        <v>376.09999999999991</v>
      </c>
      <c r="I43" s="3">
        <v>527.69999999999982</v>
      </c>
      <c r="J43" s="3">
        <v>863.89999999999964</v>
      </c>
      <c r="K43" s="3">
        <v>1757.6000000000004</v>
      </c>
      <c r="L43" s="3">
        <f t="shared" si="0"/>
        <v>-1229.9000000000005</v>
      </c>
    </row>
    <row r="44" spans="1:12" x14ac:dyDescent="0.3">
      <c r="A44" s="31">
        <v>45597</v>
      </c>
      <c r="B44" s="3">
        <v>2024</v>
      </c>
      <c r="C44" s="3">
        <v>11</v>
      </c>
      <c r="D44" s="3" t="s">
        <v>18</v>
      </c>
      <c r="E44" s="32">
        <v>45597</v>
      </c>
      <c r="F44" s="3">
        <v>404</v>
      </c>
      <c r="G44" s="3" t="s">
        <v>9</v>
      </c>
      <c r="H44" s="3">
        <v>854.90000000000146</v>
      </c>
      <c r="I44" s="3">
        <v>824.79999999999927</v>
      </c>
      <c r="J44" s="3">
        <v>505.60000000000036</v>
      </c>
      <c r="K44" s="3">
        <v>674</v>
      </c>
      <c r="L44" s="3">
        <f t="shared" si="0"/>
        <v>150.79999999999927</v>
      </c>
    </row>
    <row r="45" spans="1:12" x14ac:dyDescent="0.3">
      <c r="A45" s="31">
        <v>45597</v>
      </c>
      <c r="B45" s="3">
        <v>2024</v>
      </c>
      <c r="C45" s="3">
        <v>11</v>
      </c>
      <c r="D45" s="3" t="s">
        <v>18</v>
      </c>
      <c r="E45" s="32">
        <v>45597</v>
      </c>
      <c r="F45" s="3">
        <v>405</v>
      </c>
      <c r="G45" s="3" t="s">
        <v>10</v>
      </c>
      <c r="H45" s="3">
        <v>642.39999999999964</v>
      </c>
      <c r="I45" s="3">
        <v>4972.3000000000029</v>
      </c>
      <c r="J45" s="3">
        <v>151</v>
      </c>
      <c r="K45" s="3">
        <v>1342</v>
      </c>
      <c r="L45" s="3">
        <f t="shared" si="0"/>
        <v>3630.3000000000029</v>
      </c>
    </row>
    <row r="46" spans="1:12" x14ac:dyDescent="0.3">
      <c r="A46" s="31">
        <v>45597</v>
      </c>
      <c r="B46" s="3">
        <v>2024</v>
      </c>
      <c r="C46" s="3">
        <v>11</v>
      </c>
      <c r="D46" s="3" t="s">
        <v>18</v>
      </c>
      <c r="E46" s="32">
        <v>45597</v>
      </c>
      <c r="F46" s="3">
        <v>406</v>
      </c>
      <c r="G46" s="3" t="s">
        <v>11</v>
      </c>
      <c r="H46" s="3">
        <v>1433.8999999999996</v>
      </c>
      <c r="I46" s="3">
        <v>6657.5</v>
      </c>
      <c r="J46" s="3">
        <v>4027.7999999999993</v>
      </c>
      <c r="K46" s="3">
        <v>24138.200000000012</v>
      </c>
      <c r="L46" s="3">
        <f t="shared" si="0"/>
        <v>-17480.700000000012</v>
      </c>
    </row>
    <row r="47" spans="1:12" x14ac:dyDescent="0.3">
      <c r="A47" s="31">
        <v>45597</v>
      </c>
      <c r="B47" s="3">
        <v>2024</v>
      </c>
      <c r="C47" s="3">
        <v>11</v>
      </c>
      <c r="D47" s="3" t="s">
        <v>18</v>
      </c>
      <c r="E47" s="32">
        <v>45597</v>
      </c>
      <c r="F47" s="3">
        <v>2105</v>
      </c>
      <c r="G47" s="3" t="s">
        <v>25</v>
      </c>
      <c r="H47" s="3">
        <v>298.39999999999964</v>
      </c>
      <c r="I47" s="3">
        <v>1019.6999999999971</v>
      </c>
      <c r="J47" s="3">
        <v>34.099999999999909</v>
      </c>
      <c r="K47" s="3">
        <v>252.69999999999982</v>
      </c>
      <c r="L47" s="3">
        <f t="shared" si="0"/>
        <v>766.99999999999727</v>
      </c>
    </row>
    <row r="48" spans="1:12" x14ac:dyDescent="0.3">
      <c r="A48" s="31">
        <v>45597</v>
      </c>
      <c r="B48" s="3">
        <v>2024</v>
      </c>
      <c r="C48" s="3">
        <v>11</v>
      </c>
      <c r="D48" s="3" t="s">
        <v>18</v>
      </c>
      <c r="E48" s="32">
        <v>45597</v>
      </c>
      <c r="F48" s="3">
        <v>3501</v>
      </c>
      <c r="G48" s="3" t="s">
        <v>26</v>
      </c>
      <c r="H48" s="3">
        <v>975</v>
      </c>
      <c r="I48" s="3">
        <v>6063</v>
      </c>
      <c r="J48" s="3">
        <v>8</v>
      </c>
      <c r="K48" s="3">
        <v>41</v>
      </c>
      <c r="L48" s="3">
        <f t="shared" si="0"/>
        <v>6022</v>
      </c>
    </row>
    <row r="49" spans="1:12" x14ac:dyDescent="0.3">
      <c r="A49" s="31">
        <v>45627</v>
      </c>
      <c r="B49" s="3">
        <v>2024</v>
      </c>
      <c r="C49" s="3">
        <v>12</v>
      </c>
      <c r="D49" s="3" t="s">
        <v>19</v>
      </c>
      <c r="E49" s="32">
        <v>45627</v>
      </c>
      <c r="F49" s="3">
        <v>102</v>
      </c>
      <c r="G49" s="3" t="s">
        <v>43</v>
      </c>
      <c r="H49" s="3">
        <v>4007.5999999999985</v>
      </c>
      <c r="I49" s="3">
        <v>8619.3000000000029</v>
      </c>
      <c r="J49" s="3">
        <v>7.5</v>
      </c>
      <c r="K49" s="3">
        <v>57.099999999999909</v>
      </c>
      <c r="L49" s="3">
        <f t="shared" si="0"/>
        <v>8562.2000000000025</v>
      </c>
    </row>
    <row r="50" spans="1:12" x14ac:dyDescent="0.3">
      <c r="A50" s="31">
        <v>45627</v>
      </c>
      <c r="B50" s="3">
        <v>2024</v>
      </c>
      <c r="C50" s="3">
        <v>12</v>
      </c>
      <c r="D50" s="3" t="s">
        <v>19</v>
      </c>
      <c r="E50" s="32">
        <v>45627</v>
      </c>
      <c r="F50" s="3">
        <v>201</v>
      </c>
      <c r="G50" s="3" t="s">
        <v>44</v>
      </c>
      <c r="H50" s="3">
        <v>1.1000000000000227</v>
      </c>
      <c r="I50" s="3">
        <v>11.100000000000364</v>
      </c>
      <c r="J50" s="3">
        <v>17.400000000000006</v>
      </c>
      <c r="K50" s="3">
        <v>427.90000000000009</v>
      </c>
      <c r="L50" s="3">
        <f t="shared" si="0"/>
        <v>-416.79999999999973</v>
      </c>
    </row>
    <row r="51" spans="1:12" x14ac:dyDescent="0.3">
      <c r="A51" s="31">
        <v>45627</v>
      </c>
      <c r="B51" s="3">
        <v>2024</v>
      </c>
      <c r="C51" s="3">
        <v>12</v>
      </c>
      <c r="D51" s="3" t="s">
        <v>19</v>
      </c>
      <c r="E51" s="32">
        <v>45627</v>
      </c>
      <c r="F51" s="3">
        <v>202</v>
      </c>
      <c r="G51" s="3" t="s">
        <v>45</v>
      </c>
      <c r="H51" s="3">
        <v>1799.7000000000007</v>
      </c>
      <c r="I51" s="3">
        <v>6596.8999999999942</v>
      </c>
      <c r="J51" s="3">
        <v>202.69999999999982</v>
      </c>
      <c r="K51" s="3">
        <v>1157.3999999999996</v>
      </c>
      <c r="L51" s="3">
        <f t="shared" si="0"/>
        <v>5439.4999999999945</v>
      </c>
    </row>
    <row r="52" spans="1:12" x14ac:dyDescent="0.3">
      <c r="A52" s="31">
        <v>45627</v>
      </c>
      <c r="B52" s="3">
        <v>2024</v>
      </c>
      <c r="C52" s="3">
        <v>12</v>
      </c>
      <c r="D52" s="3" t="s">
        <v>19</v>
      </c>
      <c r="E52" s="32">
        <v>45627</v>
      </c>
      <c r="F52" s="3">
        <v>401</v>
      </c>
      <c r="G52" s="3" t="s">
        <v>7</v>
      </c>
      <c r="H52" s="3">
        <v>1893.4000000000015</v>
      </c>
      <c r="I52" s="3">
        <v>1539.5999999999985</v>
      </c>
      <c r="J52" s="3">
        <v>395.90000000000009</v>
      </c>
      <c r="K52" s="3">
        <v>588.09999999999991</v>
      </c>
      <c r="L52" s="3">
        <f t="shared" si="0"/>
        <v>951.49999999999864</v>
      </c>
    </row>
    <row r="53" spans="1:12" x14ac:dyDescent="0.3">
      <c r="A53" s="31">
        <v>45627</v>
      </c>
      <c r="B53" s="3">
        <v>2024</v>
      </c>
      <c r="C53" s="3">
        <v>12</v>
      </c>
      <c r="D53" s="3" t="s">
        <v>19</v>
      </c>
      <c r="E53" s="32">
        <v>45627</v>
      </c>
      <c r="F53" s="3">
        <v>402</v>
      </c>
      <c r="G53" s="3" t="s">
        <v>8</v>
      </c>
      <c r="H53" s="3">
        <v>2010</v>
      </c>
      <c r="I53" s="3">
        <v>5482.6999999999971</v>
      </c>
      <c r="J53" s="3">
        <v>267.40000000000009</v>
      </c>
      <c r="K53" s="3">
        <v>1057.3000000000002</v>
      </c>
      <c r="L53" s="3">
        <f t="shared" si="0"/>
        <v>4425.3999999999969</v>
      </c>
    </row>
    <row r="54" spans="1:12" x14ac:dyDescent="0.3">
      <c r="A54" s="31">
        <v>45627</v>
      </c>
      <c r="B54" s="3">
        <v>2024</v>
      </c>
      <c r="C54" s="3">
        <v>12</v>
      </c>
      <c r="D54" s="3" t="s">
        <v>19</v>
      </c>
      <c r="E54" s="32">
        <v>45627</v>
      </c>
      <c r="F54" s="3">
        <v>403</v>
      </c>
      <c r="G54" s="3" t="s">
        <v>23</v>
      </c>
      <c r="H54" s="3">
        <v>382</v>
      </c>
      <c r="I54" s="3">
        <v>552.89999999999964</v>
      </c>
      <c r="J54" s="3">
        <v>793.5</v>
      </c>
      <c r="K54" s="3">
        <v>1540.5999999999985</v>
      </c>
      <c r="L54" s="3">
        <f t="shared" si="0"/>
        <v>-987.69999999999891</v>
      </c>
    </row>
    <row r="55" spans="1:12" x14ac:dyDescent="0.3">
      <c r="A55" s="31">
        <v>45627</v>
      </c>
      <c r="B55" s="3">
        <v>2024</v>
      </c>
      <c r="C55" s="3">
        <v>12</v>
      </c>
      <c r="D55" s="3" t="s">
        <v>19</v>
      </c>
      <c r="E55" s="32">
        <v>45627</v>
      </c>
      <c r="F55" s="3">
        <v>404</v>
      </c>
      <c r="G55" s="3" t="s">
        <v>9</v>
      </c>
      <c r="H55" s="3">
        <v>1294</v>
      </c>
      <c r="I55" s="3">
        <v>1175.2000000000007</v>
      </c>
      <c r="J55" s="3">
        <v>538.5</v>
      </c>
      <c r="K55" s="3">
        <v>1333.3999999999996</v>
      </c>
      <c r="L55" s="3">
        <f t="shared" si="0"/>
        <v>-158.19999999999891</v>
      </c>
    </row>
    <row r="56" spans="1:12" x14ac:dyDescent="0.3">
      <c r="A56" s="31">
        <v>45627</v>
      </c>
      <c r="B56" s="3">
        <v>2024</v>
      </c>
      <c r="C56" s="3">
        <v>12</v>
      </c>
      <c r="D56" s="3" t="s">
        <v>19</v>
      </c>
      <c r="E56" s="32">
        <v>45627</v>
      </c>
      <c r="F56" s="3">
        <v>405</v>
      </c>
      <c r="G56" s="3" t="s">
        <v>10</v>
      </c>
      <c r="H56" s="3">
        <v>438</v>
      </c>
      <c r="I56" s="3">
        <v>3386.5</v>
      </c>
      <c r="J56" s="3">
        <v>232.19999999999982</v>
      </c>
      <c r="K56" s="3">
        <v>2155.0999999999985</v>
      </c>
      <c r="L56" s="3">
        <f t="shared" si="0"/>
        <v>1231.4000000000015</v>
      </c>
    </row>
    <row r="57" spans="1:12" x14ac:dyDescent="0.3">
      <c r="A57" s="31">
        <v>45627</v>
      </c>
      <c r="B57" s="3">
        <v>2024</v>
      </c>
      <c r="C57" s="3">
        <v>12</v>
      </c>
      <c r="D57" s="3" t="s">
        <v>19</v>
      </c>
      <c r="E57" s="32">
        <v>45627</v>
      </c>
      <c r="F57" s="3">
        <v>406</v>
      </c>
      <c r="G57" s="3" t="s">
        <v>11</v>
      </c>
      <c r="H57" s="3">
        <v>855.89999999999964</v>
      </c>
      <c r="I57" s="3">
        <v>3816.9000000000015</v>
      </c>
      <c r="J57" s="3">
        <v>5341.9000000000015</v>
      </c>
      <c r="K57" s="3">
        <v>31846.5</v>
      </c>
      <c r="L57" s="3">
        <f t="shared" si="0"/>
        <v>-28029.599999999999</v>
      </c>
    </row>
    <row r="58" spans="1:12" x14ac:dyDescent="0.3">
      <c r="A58" s="31">
        <v>45627</v>
      </c>
      <c r="B58" s="3">
        <v>2024</v>
      </c>
      <c r="C58" s="3">
        <v>12</v>
      </c>
      <c r="D58" s="3" t="s">
        <v>19</v>
      </c>
      <c r="E58" s="32">
        <v>45627</v>
      </c>
      <c r="F58" s="3">
        <v>2105</v>
      </c>
      <c r="G58" s="3" t="s">
        <v>25</v>
      </c>
      <c r="H58" s="3">
        <v>357.20000000000073</v>
      </c>
      <c r="I58" s="3">
        <v>1231.1999999999971</v>
      </c>
      <c r="J58" s="3">
        <v>33</v>
      </c>
      <c r="K58" s="3">
        <v>203.19999999999982</v>
      </c>
      <c r="L58" s="3">
        <f t="shared" si="0"/>
        <v>1027.9999999999973</v>
      </c>
    </row>
    <row r="59" spans="1:12" x14ac:dyDescent="0.3">
      <c r="A59" s="31">
        <v>45627</v>
      </c>
      <c r="B59" s="3">
        <v>2024</v>
      </c>
      <c r="C59" s="3">
        <v>12</v>
      </c>
      <c r="D59" s="3" t="s">
        <v>19</v>
      </c>
      <c r="E59" s="32">
        <v>45627</v>
      </c>
      <c r="F59" s="3">
        <v>3501</v>
      </c>
      <c r="G59" s="3" t="s">
        <v>26</v>
      </c>
      <c r="H59" s="3">
        <v>0</v>
      </c>
      <c r="I59" s="3">
        <v>0</v>
      </c>
      <c r="J59" s="3">
        <v>0</v>
      </c>
      <c r="K59" s="3">
        <v>0</v>
      </c>
      <c r="L59" s="3">
        <f t="shared" si="0"/>
        <v>0</v>
      </c>
    </row>
    <row r="60" spans="1:12" x14ac:dyDescent="0.3">
      <c r="A60" s="31">
        <v>45536</v>
      </c>
      <c r="B60" s="3">
        <v>2024</v>
      </c>
      <c r="C60" s="3">
        <v>9</v>
      </c>
      <c r="D60" s="3" t="s">
        <v>15</v>
      </c>
      <c r="E60" s="32">
        <v>45536</v>
      </c>
      <c r="F60" s="3">
        <v>102</v>
      </c>
      <c r="G60" s="3" t="s">
        <v>43</v>
      </c>
      <c r="H60" s="3">
        <v>2076</v>
      </c>
      <c r="I60" s="3">
        <v>4430.8999999999996</v>
      </c>
      <c r="J60" s="3">
        <v>53.8</v>
      </c>
      <c r="K60" s="3">
        <v>436.7</v>
      </c>
      <c r="L60" s="3">
        <f t="shared" si="0"/>
        <v>3994.2</v>
      </c>
    </row>
    <row r="61" spans="1:12" x14ac:dyDescent="0.3">
      <c r="A61" s="31">
        <v>45536</v>
      </c>
      <c r="B61" s="3">
        <v>2024</v>
      </c>
      <c r="C61" s="3">
        <v>9</v>
      </c>
      <c r="D61" s="3" t="s">
        <v>15</v>
      </c>
      <c r="E61" s="32">
        <v>45536</v>
      </c>
      <c r="F61" s="3">
        <v>201</v>
      </c>
      <c r="G61" s="3" t="s">
        <v>44</v>
      </c>
      <c r="H61" s="3">
        <v>0.8</v>
      </c>
      <c r="I61" s="3">
        <v>10.6</v>
      </c>
      <c r="J61" s="3">
        <v>19</v>
      </c>
      <c r="K61" s="3">
        <v>358.5</v>
      </c>
      <c r="L61" s="3">
        <f t="shared" si="0"/>
        <v>-347.9</v>
      </c>
    </row>
    <row r="62" spans="1:12" x14ac:dyDescent="0.3">
      <c r="A62" s="31">
        <v>45536</v>
      </c>
      <c r="B62" s="3">
        <v>2024</v>
      </c>
      <c r="C62" s="3">
        <v>9</v>
      </c>
      <c r="D62" s="3" t="s">
        <v>15</v>
      </c>
      <c r="E62" s="32">
        <v>45536</v>
      </c>
      <c r="F62" s="3">
        <v>202</v>
      </c>
      <c r="G62" s="3" t="s">
        <v>45</v>
      </c>
      <c r="H62" s="3">
        <v>1589.9</v>
      </c>
      <c r="I62" s="3">
        <v>6136.7</v>
      </c>
      <c r="J62" s="3">
        <v>224</v>
      </c>
      <c r="K62" s="3">
        <v>1185.7</v>
      </c>
      <c r="L62" s="3">
        <f t="shared" si="0"/>
        <v>4951</v>
      </c>
    </row>
    <row r="63" spans="1:12" x14ac:dyDescent="0.3">
      <c r="A63" s="31">
        <v>45536</v>
      </c>
      <c r="B63" s="3">
        <v>2024</v>
      </c>
      <c r="C63" s="3">
        <v>9</v>
      </c>
      <c r="D63" s="3" t="s">
        <v>15</v>
      </c>
      <c r="E63" s="32">
        <v>45536</v>
      </c>
      <c r="F63" s="3">
        <v>401</v>
      </c>
      <c r="G63" s="3" t="s">
        <v>7</v>
      </c>
      <c r="H63" s="3">
        <v>2631.1</v>
      </c>
      <c r="I63" s="3">
        <v>1764.4</v>
      </c>
      <c r="J63" s="3">
        <v>211.4</v>
      </c>
      <c r="K63" s="3">
        <v>376.1</v>
      </c>
      <c r="L63" s="3">
        <f t="shared" si="0"/>
        <v>1388.3000000000002</v>
      </c>
    </row>
    <row r="64" spans="1:12" x14ac:dyDescent="0.3">
      <c r="A64" s="31">
        <v>45536</v>
      </c>
      <c r="B64" s="3">
        <v>2024</v>
      </c>
      <c r="C64" s="3">
        <v>9</v>
      </c>
      <c r="D64" s="3" t="s">
        <v>15</v>
      </c>
      <c r="E64" s="32">
        <v>45536</v>
      </c>
      <c r="F64" s="3">
        <v>402</v>
      </c>
      <c r="G64" s="3" t="s">
        <v>8</v>
      </c>
      <c r="H64" s="3">
        <v>1888.4</v>
      </c>
      <c r="I64" s="3">
        <v>4657.3999999999996</v>
      </c>
      <c r="J64" s="3">
        <v>141</v>
      </c>
      <c r="K64" s="3">
        <v>524.4</v>
      </c>
      <c r="L64" s="3">
        <f t="shared" si="0"/>
        <v>4133</v>
      </c>
    </row>
    <row r="65" spans="1:12" x14ac:dyDescent="0.3">
      <c r="A65" s="31">
        <v>45536</v>
      </c>
      <c r="B65" s="3">
        <v>2024</v>
      </c>
      <c r="C65" s="3">
        <v>9</v>
      </c>
      <c r="D65" s="3" t="s">
        <v>15</v>
      </c>
      <c r="E65" s="32">
        <v>45536</v>
      </c>
      <c r="F65" s="3">
        <v>403</v>
      </c>
      <c r="G65" s="3" t="s">
        <v>23</v>
      </c>
      <c r="H65" s="3">
        <v>441.4</v>
      </c>
      <c r="I65" s="3">
        <v>680.8</v>
      </c>
      <c r="J65" s="3">
        <v>787.6</v>
      </c>
      <c r="K65" s="3">
        <v>1627.9</v>
      </c>
      <c r="L65" s="3">
        <f t="shared" si="0"/>
        <v>-947.10000000000014</v>
      </c>
    </row>
    <row r="66" spans="1:12" x14ac:dyDescent="0.3">
      <c r="A66" s="31">
        <v>45536</v>
      </c>
      <c r="B66" s="3">
        <v>2024</v>
      </c>
      <c r="C66" s="3">
        <v>9</v>
      </c>
      <c r="D66" s="3" t="s">
        <v>15</v>
      </c>
      <c r="E66" s="32">
        <v>45536</v>
      </c>
      <c r="F66" s="3">
        <v>404</v>
      </c>
      <c r="G66" s="3" t="s">
        <v>9</v>
      </c>
      <c r="H66" s="3">
        <v>1241.3</v>
      </c>
      <c r="I66" s="3">
        <v>967.4</v>
      </c>
      <c r="J66" s="3">
        <v>775.6</v>
      </c>
      <c r="K66" s="3">
        <v>989.2</v>
      </c>
      <c r="L66" s="3">
        <f t="shared" si="0"/>
        <v>-21.800000000000068</v>
      </c>
    </row>
    <row r="67" spans="1:12" x14ac:dyDescent="0.3">
      <c r="A67" s="31">
        <v>45536</v>
      </c>
      <c r="B67" s="3">
        <v>2024</v>
      </c>
      <c r="C67" s="3">
        <v>9</v>
      </c>
      <c r="D67" s="3" t="s">
        <v>15</v>
      </c>
      <c r="E67" s="32">
        <v>45536</v>
      </c>
      <c r="F67" s="3">
        <v>405</v>
      </c>
      <c r="G67" s="3" t="s">
        <v>10</v>
      </c>
      <c r="H67" s="3">
        <v>880.6</v>
      </c>
      <c r="I67" s="3">
        <v>6270.2</v>
      </c>
      <c r="J67" s="3">
        <v>71.900000000000006</v>
      </c>
      <c r="K67" s="3">
        <v>657.1</v>
      </c>
      <c r="L67" s="3">
        <f t="shared" ref="L67:L130" si="1">I67-K67</f>
        <v>5613.0999999999995</v>
      </c>
    </row>
    <row r="68" spans="1:12" x14ac:dyDescent="0.3">
      <c r="A68" s="31">
        <v>45536</v>
      </c>
      <c r="B68" s="3">
        <v>2024</v>
      </c>
      <c r="C68" s="3">
        <v>9</v>
      </c>
      <c r="D68" s="3" t="s">
        <v>15</v>
      </c>
      <c r="E68" s="32">
        <v>45536</v>
      </c>
      <c r="F68" s="3">
        <v>406</v>
      </c>
      <c r="G68" s="3" t="s">
        <v>11</v>
      </c>
      <c r="H68" s="3">
        <v>1190.2</v>
      </c>
      <c r="I68" s="3">
        <v>5055.8999999999996</v>
      </c>
      <c r="J68" s="3">
        <v>2998.2</v>
      </c>
      <c r="K68" s="3">
        <v>18180.8</v>
      </c>
      <c r="L68" s="3">
        <f t="shared" si="1"/>
        <v>-13124.9</v>
      </c>
    </row>
    <row r="69" spans="1:12" x14ac:dyDescent="0.3">
      <c r="A69" s="31">
        <v>45536</v>
      </c>
      <c r="B69" s="3">
        <v>2024</v>
      </c>
      <c r="C69" s="3">
        <v>9</v>
      </c>
      <c r="D69" s="3" t="s">
        <v>15</v>
      </c>
      <c r="E69" s="32">
        <v>45536</v>
      </c>
      <c r="F69" s="3">
        <v>2105</v>
      </c>
      <c r="G69" s="3" t="s">
        <v>25</v>
      </c>
      <c r="H69" s="3">
        <v>678.1</v>
      </c>
      <c r="I69" s="3">
        <v>2303</v>
      </c>
      <c r="J69" s="3">
        <v>70.2</v>
      </c>
      <c r="K69" s="3">
        <v>334.2</v>
      </c>
      <c r="L69" s="3">
        <f t="shared" si="1"/>
        <v>1968.8</v>
      </c>
    </row>
    <row r="70" spans="1:12" x14ac:dyDescent="0.3">
      <c r="A70" s="31">
        <v>45536</v>
      </c>
      <c r="B70" s="3">
        <v>2024</v>
      </c>
      <c r="C70" s="3">
        <v>9</v>
      </c>
      <c r="D70" s="3" t="s">
        <v>15</v>
      </c>
      <c r="E70" s="32">
        <v>45536</v>
      </c>
      <c r="F70" s="3">
        <v>3501</v>
      </c>
      <c r="G70" s="3" t="s">
        <v>26</v>
      </c>
      <c r="H70" s="3">
        <v>0</v>
      </c>
      <c r="I70" s="3">
        <v>0</v>
      </c>
      <c r="J70" s="3">
        <v>0</v>
      </c>
      <c r="K70" s="3">
        <v>0</v>
      </c>
      <c r="L70" s="3">
        <f t="shared" si="1"/>
        <v>0</v>
      </c>
    </row>
    <row r="71" spans="1:12" x14ac:dyDescent="0.3">
      <c r="A71" s="31">
        <v>45931</v>
      </c>
      <c r="B71" s="3">
        <v>2025</v>
      </c>
      <c r="C71" s="3">
        <v>10</v>
      </c>
      <c r="D71" s="3" t="s">
        <v>17</v>
      </c>
      <c r="E71" s="32">
        <v>45931</v>
      </c>
      <c r="F71" s="3">
        <v>401</v>
      </c>
      <c r="G71" s="3" t="s">
        <v>7</v>
      </c>
      <c r="H71" s="3">
        <v>2235</v>
      </c>
      <c r="I71" s="3">
        <v>1886</v>
      </c>
      <c r="J71" s="3">
        <v>263</v>
      </c>
      <c r="K71" s="3">
        <v>375</v>
      </c>
      <c r="L71" s="3">
        <f t="shared" si="1"/>
        <v>1511</v>
      </c>
    </row>
    <row r="72" spans="1:12" x14ac:dyDescent="0.3">
      <c r="A72" s="31">
        <v>45931</v>
      </c>
      <c r="B72" s="3">
        <v>2025</v>
      </c>
      <c r="C72" s="3">
        <v>10</v>
      </c>
      <c r="D72" s="3" t="s">
        <v>17</v>
      </c>
      <c r="E72" s="32">
        <v>45931</v>
      </c>
      <c r="F72" s="3">
        <v>402</v>
      </c>
      <c r="G72" s="3" t="s">
        <v>8</v>
      </c>
      <c r="H72" s="3">
        <v>1991</v>
      </c>
      <c r="I72" s="3">
        <v>4977</v>
      </c>
      <c r="J72" s="3">
        <v>252</v>
      </c>
      <c r="K72" s="3">
        <v>983</v>
      </c>
      <c r="L72" s="3">
        <f t="shared" si="1"/>
        <v>3994</v>
      </c>
    </row>
    <row r="73" spans="1:12" x14ac:dyDescent="0.3">
      <c r="A73" s="31">
        <v>45931</v>
      </c>
      <c r="B73" s="3">
        <v>2025</v>
      </c>
      <c r="C73" s="3">
        <v>10</v>
      </c>
      <c r="D73" s="3" t="s">
        <v>17</v>
      </c>
      <c r="E73" s="32">
        <v>45931</v>
      </c>
      <c r="F73" s="3">
        <v>403</v>
      </c>
      <c r="G73" s="3" t="s">
        <v>23</v>
      </c>
      <c r="H73" s="3">
        <v>607</v>
      </c>
      <c r="I73" s="3">
        <v>1014</v>
      </c>
      <c r="J73" s="3">
        <v>735</v>
      </c>
      <c r="K73" s="3">
        <v>1700</v>
      </c>
      <c r="L73" s="3">
        <f t="shared" si="1"/>
        <v>-686</v>
      </c>
    </row>
    <row r="74" spans="1:12" x14ac:dyDescent="0.3">
      <c r="A74" s="31">
        <v>45931</v>
      </c>
      <c r="B74" s="3">
        <v>2025</v>
      </c>
      <c r="C74" s="3">
        <v>10</v>
      </c>
      <c r="D74" s="3" t="s">
        <v>17</v>
      </c>
      <c r="E74" s="32">
        <v>45931</v>
      </c>
      <c r="F74" s="3">
        <v>404</v>
      </c>
      <c r="G74" s="3" t="s">
        <v>9</v>
      </c>
      <c r="H74" s="3">
        <v>1316</v>
      </c>
      <c r="I74" s="3">
        <v>1448</v>
      </c>
      <c r="J74" s="3">
        <v>552</v>
      </c>
      <c r="K74" s="3">
        <v>1417</v>
      </c>
      <c r="L74" s="3">
        <f t="shared" si="1"/>
        <v>31</v>
      </c>
    </row>
    <row r="75" spans="1:12" x14ac:dyDescent="0.3">
      <c r="A75" s="31">
        <v>45931</v>
      </c>
      <c r="B75" s="3">
        <v>2025</v>
      </c>
      <c r="C75" s="3">
        <v>10</v>
      </c>
      <c r="D75" s="3" t="s">
        <v>17</v>
      </c>
      <c r="E75" s="32">
        <v>45931</v>
      </c>
      <c r="F75" s="3">
        <v>405</v>
      </c>
      <c r="G75" s="3" t="s">
        <v>10</v>
      </c>
      <c r="H75" s="3">
        <v>714</v>
      </c>
      <c r="I75" s="3">
        <v>5206</v>
      </c>
      <c r="J75" s="3">
        <v>229</v>
      </c>
      <c r="K75" s="3">
        <v>2020</v>
      </c>
      <c r="L75" s="3">
        <f t="shared" si="1"/>
        <v>3186</v>
      </c>
    </row>
    <row r="76" spans="1:12" x14ac:dyDescent="0.3">
      <c r="A76" s="31">
        <v>45931</v>
      </c>
      <c r="B76" s="3">
        <v>2025</v>
      </c>
      <c r="C76" s="3">
        <v>10</v>
      </c>
      <c r="D76" s="3" t="s">
        <v>17</v>
      </c>
      <c r="E76" s="32">
        <v>45931</v>
      </c>
      <c r="F76" s="3">
        <v>406</v>
      </c>
      <c r="G76" s="3" t="s">
        <v>11</v>
      </c>
      <c r="H76" s="3">
        <v>1413</v>
      </c>
      <c r="I76" s="3">
        <v>6625</v>
      </c>
      <c r="J76" s="3">
        <v>3855</v>
      </c>
      <c r="K76" s="3">
        <v>25301</v>
      </c>
      <c r="L76" s="3">
        <f t="shared" si="1"/>
        <v>-18676</v>
      </c>
    </row>
    <row r="77" spans="1:12" x14ac:dyDescent="0.3">
      <c r="A77" s="31">
        <v>45931</v>
      </c>
      <c r="B77" s="3">
        <v>2025</v>
      </c>
      <c r="C77" s="3">
        <v>10</v>
      </c>
      <c r="D77" s="3" t="s">
        <v>17</v>
      </c>
      <c r="E77" s="32">
        <v>45931</v>
      </c>
      <c r="F77" s="3">
        <v>2105</v>
      </c>
      <c r="G77" s="3" t="s">
        <v>25</v>
      </c>
      <c r="H77" s="3">
        <v>348</v>
      </c>
      <c r="I77" s="3">
        <v>1398</v>
      </c>
      <c r="J77" s="3">
        <v>4</v>
      </c>
      <c r="K77" s="3">
        <v>28</v>
      </c>
      <c r="L77" s="3">
        <f t="shared" si="1"/>
        <v>1370</v>
      </c>
    </row>
    <row r="78" spans="1:12" x14ac:dyDescent="0.3">
      <c r="A78" s="31">
        <v>45931</v>
      </c>
      <c r="B78" s="3">
        <v>2025</v>
      </c>
      <c r="C78" s="3">
        <v>10</v>
      </c>
      <c r="D78" s="3" t="s">
        <v>17</v>
      </c>
      <c r="E78" s="32">
        <v>45931</v>
      </c>
      <c r="F78" s="3">
        <v>3501</v>
      </c>
      <c r="G78" s="3" t="s">
        <v>26</v>
      </c>
      <c r="H78" s="3">
        <v>336</v>
      </c>
      <c r="I78" s="3">
        <v>2120</v>
      </c>
      <c r="J78" s="3">
        <v>7</v>
      </c>
      <c r="K78" s="3">
        <v>51</v>
      </c>
      <c r="L78" s="3">
        <f t="shared" si="1"/>
        <v>2069</v>
      </c>
    </row>
    <row r="79" spans="1:12" x14ac:dyDescent="0.3">
      <c r="A79" s="31">
        <v>45931</v>
      </c>
      <c r="B79" s="3">
        <v>2025</v>
      </c>
      <c r="C79" s="3">
        <v>10</v>
      </c>
      <c r="D79" s="3" t="s">
        <v>17</v>
      </c>
      <c r="E79" s="32">
        <v>45931</v>
      </c>
      <c r="F79" s="3">
        <v>102</v>
      </c>
      <c r="G79" s="3" t="s">
        <v>43</v>
      </c>
      <c r="H79" s="3">
        <v>1659</v>
      </c>
      <c r="I79" s="3">
        <v>5399</v>
      </c>
      <c r="J79" s="3">
        <v>42</v>
      </c>
      <c r="K79" s="3">
        <v>411</v>
      </c>
      <c r="L79" s="3">
        <f t="shared" si="1"/>
        <v>4988</v>
      </c>
    </row>
    <row r="80" spans="1:12" x14ac:dyDescent="0.3">
      <c r="A80" s="31">
        <v>45931</v>
      </c>
      <c r="B80" s="3">
        <v>2025</v>
      </c>
      <c r="C80" s="3">
        <v>10</v>
      </c>
      <c r="D80" s="3" t="s">
        <v>17</v>
      </c>
      <c r="E80" s="32">
        <v>45931</v>
      </c>
      <c r="F80" s="3">
        <v>201</v>
      </c>
      <c r="G80" s="3" t="s">
        <v>44</v>
      </c>
      <c r="H80" s="3">
        <v>251</v>
      </c>
      <c r="I80" s="3">
        <v>1884</v>
      </c>
      <c r="J80" s="3">
        <v>14</v>
      </c>
      <c r="K80" s="3">
        <v>384</v>
      </c>
      <c r="L80" s="3">
        <f t="shared" si="1"/>
        <v>1500</v>
      </c>
    </row>
    <row r="81" spans="1:12" x14ac:dyDescent="0.3">
      <c r="A81" s="31">
        <v>45931</v>
      </c>
      <c r="B81" s="3">
        <v>2025</v>
      </c>
      <c r="C81" s="3">
        <v>10</v>
      </c>
      <c r="D81" s="3" t="s">
        <v>17</v>
      </c>
      <c r="E81" s="32">
        <v>45931</v>
      </c>
      <c r="F81" s="3">
        <v>202</v>
      </c>
      <c r="G81" s="3" t="s">
        <v>45</v>
      </c>
      <c r="H81" s="3">
        <v>1532</v>
      </c>
      <c r="I81" s="3">
        <v>7212</v>
      </c>
      <c r="J81" s="3">
        <v>90</v>
      </c>
      <c r="K81" s="3">
        <v>839</v>
      </c>
      <c r="L81" s="3">
        <f t="shared" si="1"/>
        <v>6373</v>
      </c>
    </row>
    <row r="82" spans="1:12" ht="15" customHeight="1" x14ac:dyDescent="0.3">
      <c r="A82" s="31">
        <v>45962</v>
      </c>
      <c r="B82" s="3">
        <v>2025</v>
      </c>
      <c r="C82" s="3">
        <v>11</v>
      </c>
      <c r="D82" s="3" t="s">
        <v>18</v>
      </c>
      <c r="E82" s="32">
        <v>45962</v>
      </c>
      <c r="F82" s="3">
        <v>401</v>
      </c>
      <c r="G82" s="3" t="s">
        <v>7</v>
      </c>
      <c r="H82" s="3">
        <v>2291</v>
      </c>
      <c r="I82" s="3">
        <v>1892</v>
      </c>
      <c r="J82" s="3">
        <v>331</v>
      </c>
      <c r="K82" s="3">
        <v>698</v>
      </c>
      <c r="L82" s="3">
        <f t="shared" si="1"/>
        <v>1194</v>
      </c>
    </row>
    <row r="83" spans="1:12" x14ac:dyDescent="0.3">
      <c r="A83" s="31">
        <v>45962</v>
      </c>
      <c r="B83" s="3">
        <v>2025</v>
      </c>
      <c r="C83" s="3">
        <v>11</v>
      </c>
      <c r="D83" s="3" t="s">
        <v>18</v>
      </c>
      <c r="E83" s="32">
        <v>45962</v>
      </c>
      <c r="F83" s="3">
        <v>402</v>
      </c>
      <c r="G83" s="3" t="s">
        <v>8</v>
      </c>
      <c r="H83" s="3">
        <v>3633</v>
      </c>
      <c r="I83" s="3">
        <v>8824</v>
      </c>
      <c r="J83" s="3">
        <v>84</v>
      </c>
      <c r="K83" s="3">
        <v>310</v>
      </c>
      <c r="L83" s="3">
        <f t="shared" si="1"/>
        <v>8514</v>
      </c>
    </row>
    <row r="84" spans="1:12" x14ac:dyDescent="0.3">
      <c r="A84" s="31">
        <v>45962</v>
      </c>
      <c r="B84" s="3">
        <v>2025</v>
      </c>
      <c r="C84" s="3">
        <v>11</v>
      </c>
      <c r="D84" s="3" t="s">
        <v>18</v>
      </c>
      <c r="E84" s="32">
        <v>45962</v>
      </c>
      <c r="F84" s="3">
        <v>403</v>
      </c>
      <c r="G84" s="3" t="s">
        <v>23</v>
      </c>
      <c r="H84" s="3">
        <v>506</v>
      </c>
      <c r="I84" s="3">
        <v>743</v>
      </c>
      <c r="J84" s="3">
        <v>649</v>
      </c>
      <c r="K84" s="3">
        <v>1460</v>
      </c>
      <c r="L84" s="3">
        <f t="shared" si="1"/>
        <v>-717</v>
      </c>
    </row>
    <row r="85" spans="1:12" x14ac:dyDescent="0.3">
      <c r="A85" s="31">
        <v>45962</v>
      </c>
      <c r="B85" s="3">
        <v>2025</v>
      </c>
      <c r="C85" s="3">
        <v>11</v>
      </c>
      <c r="D85" s="3" t="s">
        <v>18</v>
      </c>
      <c r="E85" s="32">
        <v>45962</v>
      </c>
      <c r="F85" s="3">
        <v>404</v>
      </c>
      <c r="G85" s="3" t="s">
        <v>9</v>
      </c>
      <c r="H85" s="3">
        <v>1294</v>
      </c>
      <c r="I85" s="3">
        <v>1434</v>
      </c>
      <c r="J85" s="3">
        <v>409</v>
      </c>
      <c r="K85" s="3">
        <v>1258</v>
      </c>
      <c r="L85" s="3">
        <f t="shared" si="1"/>
        <v>176</v>
      </c>
    </row>
    <row r="86" spans="1:12" x14ac:dyDescent="0.3">
      <c r="A86" s="31">
        <v>45962</v>
      </c>
      <c r="B86" s="3">
        <v>2025</v>
      </c>
      <c r="C86" s="3">
        <v>11</v>
      </c>
      <c r="D86" s="3" t="s">
        <v>18</v>
      </c>
      <c r="E86" s="32">
        <v>45962</v>
      </c>
      <c r="F86" s="3">
        <v>405</v>
      </c>
      <c r="G86" s="3" t="s">
        <v>10</v>
      </c>
      <c r="H86" s="3">
        <v>743</v>
      </c>
      <c r="I86" s="3">
        <v>5062</v>
      </c>
      <c r="J86" s="3">
        <v>170</v>
      </c>
      <c r="K86" s="3">
        <v>1294</v>
      </c>
      <c r="L86" s="3">
        <f t="shared" si="1"/>
        <v>3768</v>
      </c>
    </row>
    <row r="87" spans="1:12" x14ac:dyDescent="0.3">
      <c r="A87" s="31">
        <v>45962</v>
      </c>
      <c r="B87" s="3">
        <v>2025</v>
      </c>
      <c r="C87" s="3">
        <v>11</v>
      </c>
      <c r="D87" s="3" t="s">
        <v>18</v>
      </c>
      <c r="E87" s="32">
        <v>45962</v>
      </c>
      <c r="F87" s="3">
        <v>406</v>
      </c>
      <c r="G87" s="3" t="s">
        <v>11</v>
      </c>
      <c r="H87" s="3">
        <v>1278</v>
      </c>
      <c r="I87" s="3">
        <v>6089</v>
      </c>
      <c r="J87" s="3">
        <v>3913</v>
      </c>
      <c r="K87" s="3">
        <v>25875</v>
      </c>
      <c r="L87" s="3">
        <f t="shared" si="1"/>
        <v>-19786</v>
      </c>
    </row>
    <row r="88" spans="1:12" x14ac:dyDescent="0.3">
      <c r="A88" s="31">
        <v>45962</v>
      </c>
      <c r="B88" s="3">
        <v>2025</v>
      </c>
      <c r="C88" s="3">
        <v>11</v>
      </c>
      <c r="D88" s="3" t="s">
        <v>18</v>
      </c>
      <c r="E88" s="32">
        <v>45962</v>
      </c>
      <c r="F88" s="3">
        <v>2105</v>
      </c>
      <c r="G88" s="3" t="s">
        <v>25</v>
      </c>
      <c r="H88" s="3">
        <v>316</v>
      </c>
      <c r="I88" s="3">
        <v>1182</v>
      </c>
      <c r="J88" s="3">
        <v>1</v>
      </c>
      <c r="K88" s="3">
        <v>13</v>
      </c>
      <c r="L88" s="3">
        <f t="shared" si="1"/>
        <v>1169</v>
      </c>
    </row>
    <row r="89" spans="1:12" x14ac:dyDescent="0.3">
      <c r="A89" s="31">
        <v>45962</v>
      </c>
      <c r="B89" s="3">
        <v>2025</v>
      </c>
      <c r="C89" s="3">
        <v>11</v>
      </c>
      <c r="D89" s="3" t="s">
        <v>18</v>
      </c>
      <c r="E89" s="32">
        <v>45962</v>
      </c>
      <c r="F89" s="3">
        <v>3501</v>
      </c>
      <c r="G89" s="3" t="s">
        <v>26</v>
      </c>
      <c r="H89" s="3">
        <v>356</v>
      </c>
      <c r="I89" s="3">
        <v>2335</v>
      </c>
      <c r="J89" s="3">
        <v>0</v>
      </c>
      <c r="K89" s="3">
        <v>5</v>
      </c>
      <c r="L89" s="3">
        <f t="shared" si="1"/>
        <v>2330</v>
      </c>
    </row>
    <row r="90" spans="1:12" x14ac:dyDescent="0.3">
      <c r="A90" s="31">
        <v>45962</v>
      </c>
      <c r="B90" s="3">
        <v>2025</v>
      </c>
      <c r="C90" s="3">
        <v>11</v>
      </c>
      <c r="D90" s="3" t="s">
        <v>18</v>
      </c>
      <c r="E90" s="32">
        <v>45962</v>
      </c>
      <c r="F90" s="3">
        <v>102</v>
      </c>
      <c r="G90" s="3" t="s">
        <v>43</v>
      </c>
      <c r="H90" s="3">
        <v>2396</v>
      </c>
      <c r="I90" s="3">
        <v>5469</v>
      </c>
      <c r="J90" s="3">
        <v>91</v>
      </c>
      <c r="K90" s="3">
        <v>763</v>
      </c>
      <c r="L90" s="3">
        <f t="shared" si="1"/>
        <v>4706</v>
      </c>
    </row>
    <row r="91" spans="1:12" x14ac:dyDescent="0.3">
      <c r="A91" s="31">
        <v>45962</v>
      </c>
      <c r="B91" s="3">
        <v>2025</v>
      </c>
      <c r="C91" s="3">
        <v>11</v>
      </c>
      <c r="D91" s="3" t="s">
        <v>18</v>
      </c>
      <c r="E91" s="32">
        <v>45962</v>
      </c>
      <c r="F91" s="3">
        <v>201</v>
      </c>
      <c r="G91" s="3" t="s">
        <v>44</v>
      </c>
      <c r="H91" s="3">
        <v>411</v>
      </c>
      <c r="I91" s="3">
        <v>3252</v>
      </c>
      <c r="J91" s="3">
        <v>56</v>
      </c>
      <c r="K91" s="3">
        <v>683</v>
      </c>
      <c r="L91" s="3">
        <f t="shared" si="1"/>
        <v>2569</v>
      </c>
    </row>
    <row r="92" spans="1:12" x14ac:dyDescent="0.3">
      <c r="A92" s="31">
        <v>45962</v>
      </c>
      <c r="B92" s="3">
        <v>2025</v>
      </c>
      <c r="C92" s="3">
        <v>11</v>
      </c>
      <c r="D92" s="3" t="s">
        <v>18</v>
      </c>
      <c r="E92" s="32">
        <v>45962</v>
      </c>
      <c r="F92" s="3">
        <v>202</v>
      </c>
      <c r="G92" s="3" t="s">
        <v>45</v>
      </c>
      <c r="H92" s="3">
        <v>1615</v>
      </c>
      <c r="I92" s="3">
        <v>7847</v>
      </c>
      <c r="J92" s="3">
        <v>100</v>
      </c>
      <c r="K92" s="3">
        <v>894</v>
      </c>
      <c r="L92" s="3">
        <f t="shared" si="1"/>
        <v>6953</v>
      </c>
    </row>
    <row r="93" spans="1:12" x14ac:dyDescent="0.3">
      <c r="A93" s="31">
        <v>45992</v>
      </c>
      <c r="B93" s="3">
        <v>2025</v>
      </c>
      <c r="C93" s="3">
        <v>12</v>
      </c>
      <c r="D93" s="3" t="s">
        <v>19</v>
      </c>
      <c r="E93" s="32">
        <v>45992</v>
      </c>
      <c r="F93" s="3">
        <v>401</v>
      </c>
      <c r="G93" s="3" t="s">
        <v>7</v>
      </c>
      <c r="H93" s="3">
        <v>2588.5999999999985</v>
      </c>
      <c r="I93" s="3">
        <v>2090.7999999999993</v>
      </c>
      <c r="J93" s="3">
        <v>340</v>
      </c>
      <c r="K93" s="3">
        <v>748.19999999999982</v>
      </c>
      <c r="L93" s="3">
        <f t="shared" si="1"/>
        <v>1342.5999999999995</v>
      </c>
    </row>
    <row r="94" spans="1:12" x14ac:dyDescent="0.3">
      <c r="A94" s="31">
        <v>45992</v>
      </c>
      <c r="B94" s="3">
        <v>2025</v>
      </c>
      <c r="C94" s="3">
        <v>12</v>
      </c>
      <c r="D94" s="3" t="s">
        <v>19</v>
      </c>
      <c r="E94" s="32">
        <v>45992</v>
      </c>
      <c r="F94" s="3">
        <v>402</v>
      </c>
      <c r="G94" s="3" t="s">
        <v>8</v>
      </c>
      <c r="H94" s="3">
        <v>3809.5</v>
      </c>
      <c r="I94" s="3">
        <v>9229.8999999999942</v>
      </c>
      <c r="J94" s="3">
        <v>109</v>
      </c>
      <c r="K94" s="3">
        <v>325.10000000000036</v>
      </c>
      <c r="L94" s="3">
        <f t="shared" si="1"/>
        <v>8904.7999999999938</v>
      </c>
    </row>
    <row r="95" spans="1:12" x14ac:dyDescent="0.3">
      <c r="A95" s="31">
        <v>45992</v>
      </c>
      <c r="B95" s="3">
        <v>2025</v>
      </c>
      <c r="C95" s="3">
        <v>12</v>
      </c>
      <c r="D95" s="3" t="s">
        <v>19</v>
      </c>
      <c r="E95" s="32">
        <v>45992</v>
      </c>
      <c r="F95" s="3">
        <v>403</v>
      </c>
      <c r="G95" s="3" t="s">
        <v>23</v>
      </c>
      <c r="H95" s="3">
        <v>574.5</v>
      </c>
      <c r="I95" s="3">
        <v>983.79999999999927</v>
      </c>
      <c r="J95" s="3">
        <v>767.39999999999964</v>
      </c>
      <c r="K95" s="3">
        <v>1850.2000000000007</v>
      </c>
      <c r="L95" s="3">
        <f t="shared" si="1"/>
        <v>-866.40000000000146</v>
      </c>
    </row>
    <row r="96" spans="1:12" x14ac:dyDescent="0.3">
      <c r="A96" s="31">
        <v>45992</v>
      </c>
      <c r="B96" s="3">
        <v>2025</v>
      </c>
      <c r="C96" s="3">
        <v>12</v>
      </c>
      <c r="D96" s="3" t="s">
        <v>19</v>
      </c>
      <c r="E96" s="32">
        <v>45992</v>
      </c>
      <c r="F96" s="3">
        <v>404</v>
      </c>
      <c r="G96" s="3" t="s">
        <v>9</v>
      </c>
      <c r="H96" s="3">
        <v>1003.2999999999993</v>
      </c>
      <c r="I96" s="3">
        <v>1110.7000000000007</v>
      </c>
      <c r="J96" s="3">
        <v>220</v>
      </c>
      <c r="K96" s="3">
        <v>561</v>
      </c>
      <c r="L96" s="3">
        <f t="shared" si="1"/>
        <v>549.70000000000073</v>
      </c>
    </row>
    <row r="97" spans="1:12" x14ac:dyDescent="0.3">
      <c r="A97" s="31">
        <v>45992</v>
      </c>
      <c r="B97" s="3">
        <v>2025</v>
      </c>
      <c r="C97" s="3">
        <v>12</v>
      </c>
      <c r="D97" s="3" t="s">
        <v>19</v>
      </c>
      <c r="E97" s="32">
        <v>45992</v>
      </c>
      <c r="F97" s="3">
        <v>405</v>
      </c>
      <c r="G97" s="3" t="s">
        <v>10</v>
      </c>
      <c r="H97" s="3">
        <v>836</v>
      </c>
      <c r="I97" s="3">
        <v>5414.3000000000029</v>
      </c>
      <c r="J97" s="3">
        <v>161.90000000000009</v>
      </c>
      <c r="K97" s="3">
        <v>1483.3999999999996</v>
      </c>
      <c r="L97" s="3">
        <f t="shared" si="1"/>
        <v>3930.9000000000033</v>
      </c>
    </row>
    <row r="98" spans="1:12" x14ac:dyDescent="0.3">
      <c r="A98" s="31">
        <v>45992</v>
      </c>
      <c r="B98" s="3">
        <v>2025</v>
      </c>
      <c r="C98" s="3">
        <v>12</v>
      </c>
      <c r="D98" s="3" t="s">
        <v>19</v>
      </c>
      <c r="E98" s="32">
        <v>45992</v>
      </c>
      <c r="F98" s="3">
        <v>406</v>
      </c>
      <c r="G98" s="3" t="s">
        <v>11</v>
      </c>
      <c r="H98" s="3">
        <v>1241.1000000000004</v>
      </c>
      <c r="I98" s="3">
        <v>5801.3000000000029</v>
      </c>
      <c r="J98" s="3">
        <v>4914</v>
      </c>
      <c r="K98" s="3">
        <v>32185.5</v>
      </c>
      <c r="L98" s="3">
        <f t="shared" si="1"/>
        <v>-26384.199999999997</v>
      </c>
    </row>
    <row r="99" spans="1:12" x14ac:dyDescent="0.3">
      <c r="A99" s="31">
        <v>45992</v>
      </c>
      <c r="B99" s="3">
        <v>2025</v>
      </c>
      <c r="C99" s="3">
        <v>12</v>
      </c>
      <c r="D99" s="3" t="s">
        <v>19</v>
      </c>
      <c r="E99" s="32">
        <v>45992</v>
      </c>
      <c r="F99" s="3">
        <v>2105</v>
      </c>
      <c r="G99" s="3" t="s">
        <v>25</v>
      </c>
      <c r="H99" s="3">
        <v>336</v>
      </c>
      <c r="I99" s="3">
        <v>1295.4000000000015</v>
      </c>
      <c r="J99" s="3">
        <v>14.299999999999955</v>
      </c>
      <c r="K99" s="3">
        <v>134.5</v>
      </c>
      <c r="L99" s="3">
        <f t="shared" si="1"/>
        <v>1160.9000000000015</v>
      </c>
    </row>
    <row r="100" spans="1:12" x14ac:dyDescent="0.3">
      <c r="A100" s="31">
        <v>45992</v>
      </c>
      <c r="B100" s="3">
        <v>2025</v>
      </c>
      <c r="C100" s="3">
        <v>12</v>
      </c>
      <c r="D100" s="3" t="s">
        <v>19</v>
      </c>
      <c r="E100" s="32">
        <v>45992</v>
      </c>
      <c r="F100" s="3">
        <v>3501</v>
      </c>
      <c r="G100" s="3" t="s">
        <v>26</v>
      </c>
      <c r="H100" s="3">
        <v>0</v>
      </c>
      <c r="I100" s="3">
        <v>0</v>
      </c>
      <c r="J100" s="3">
        <v>0</v>
      </c>
      <c r="K100" s="3">
        <v>0</v>
      </c>
      <c r="L100" s="3">
        <f t="shared" si="1"/>
        <v>0</v>
      </c>
    </row>
    <row r="101" spans="1:12" x14ac:dyDescent="0.3">
      <c r="A101" s="31">
        <v>45992</v>
      </c>
      <c r="B101" s="3">
        <v>2025</v>
      </c>
      <c r="C101" s="3">
        <v>12</v>
      </c>
      <c r="D101" s="3" t="s">
        <v>19</v>
      </c>
      <c r="E101" s="32">
        <v>45992</v>
      </c>
      <c r="F101" s="3">
        <v>102</v>
      </c>
      <c r="G101" s="3" t="s">
        <v>43</v>
      </c>
      <c r="H101" s="3">
        <v>1489.0999999999985</v>
      </c>
      <c r="I101" s="3">
        <v>3396.9000000000015</v>
      </c>
      <c r="J101" s="3">
        <v>13.899999999999977</v>
      </c>
      <c r="K101" s="3">
        <v>107.19999999999982</v>
      </c>
      <c r="L101" s="3">
        <f t="shared" si="1"/>
        <v>3289.7000000000016</v>
      </c>
    </row>
    <row r="102" spans="1:12" x14ac:dyDescent="0.3">
      <c r="A102" s="31">
        <v>45992</v>
      </c>
      <c r="B102" s="3">
        <v>2025</v>
      </c>
      <c r="C102" s="3">
        <v>12</v>
      </c>
      <c r="D102" s="3" t="s">
        <v>19</v>
      </c>
      <c r="E102" s="32">
        <v>45992</v>
      </c>
      <c r="F102" s="3">
        <v>201</v>
      </c>
      <c r="G102" s="3" t="s">
        <v>44</v>
      </c>
      <c r="H102" s="3">
        <v>430.79999999999995</v>
      </c>
      <c r="I102" s="3">
        <v>3422</v>
      </c>
      <c r="J102" s="3">
        <v>13.099999999999994</v>
      </c>
      <c r="K102" s="3">
        <v>284.30000000000018</v>
      </c>
      <c r="L102" s="3">
        <f t="shared" si="1"/>
        <v>3137.7</v>
      </c>
    </row>
    <row r="103" spans="1:12" x14ac:dyDescent="0.3">
      <c r="A103" s="31">
        <v>45992</v>
      </c>
      <c r="B103" s="3">
        <v>2025</v>
      </c>
      <c r="C103" s="3">
        <v>12</v>
      </c>
      <c r="D103" s="3" t="s">
        <v>19</v>
      </c>
      <c r="E103" s="32">
        <v>45992</v>
      </c>
      <c r="F103" s="3">
        <v>202</v>
      </c>
      <c r="G103" s="3" t="s">
        <v>45</v>
      </c>
      <c r="H103" s="3">
        <v>1460.0999999999985</v>
      </c>
      <c r="I103" s="3">
        <v>6918.5</v>
      </c>
      <c r="J103" s="3">
        <v>98.299999999999955</v>
      </c>
      <c r="K103" s="3">
        <v>793.70000000000073</v>
      </c>
      <c r="L103" s="3">
        <f t="shared" si="1"/>
        <v>6124.7999999999993</v>
      </c>
    </row>
    <row r="104" spans="1:12" x14ac:dyDescent="0.3">
      <c r="A104" s="31">
        <v>45839</v>
      </c>
      <c r="B104" s="3">
        <v>2025</v>
      </c>
      <c r="C104" s="3">
        <v>7</v>
      </c>
      <c r="D104" s="3" t="s">
        <v>53</v>
      </c>
      <c r="E104" s="32">
        <v>45839</v>
      </c>
      <c r="F104" s="3">
        <v>102</v>
      </c>
      <c r="G104" s="3" t="s">
        <v>43</v>
      </c>
      <c r="H104" s="3">
        <v>1988</v>
      </c>
      <c r="I104" s="3">
        <v>4198</v>
      </c>
      <c r="J104" s="3">
        <v>242</v>
      </c>
      <c r="K104" s="3">
        <v>1913</v>
      </c>
      <c r="L104" s="3">
        <f t="shared" si="1"/>
        <v>2285</v>
      </c>
    </row>
    <row r="105" spans="1:12" x14ac:dyDescent="0.3">
      <c r="A105" s="31">
        <v>45839</v>
      </c>
      <c r="B105" s="3">
        <v>2025</v>
      </c>
      <c r="C105" s="3">
        <v>7</v>
      </c>
      <c r="D105" s="3" t="s">
        <v>53</v>
      </c>
      <c r="E105" s="32">
        <v>45839</v>
      </c>
      <c r="F105" s="3">
        <v>201</v>
      </c>
      <c r="G105" s="3" t="s">
        <v>44</v>
      </c>
      <c r="H105" s="3">
        <v>35</v>
      </c>
      <c r="I105" s="3">
        <v>165</v>
      </c>
      <c r="J105" s="3">
        <v>10</v>
      </c>
      <c r="K105" s="3">
        <v>157</v>
      </c>
      <c r="L105" s="3">
        <f t="shared" si="1"/>
        <v>8</v>
      </c>
    </row>
    <row r="106" spans="1:12" x14ac:dyDescent="0.3">
      <c r="A106" s="31">
        <v>45839</v>
      </c>
      <c r="B106" s="3">
        <v>2025</v>
      </c>
      <c r="C106" s="3">
        <v>7</v>
      </c>
      <c r="D106" s="3" t="s">
        <v>53</v>
      </c>
      <c r="E106" s="32">
        <v>45839</v>
      </c>
      <c r="F106" s="3">
        <v>202</v>
      </c>
      <c r="G106" s="3" t="s">
        <v>45</v>
      </c>
      <c r="H106" s="3">
        <v>1686</v>
      </c>
      <c r="I106" s="3">
        <v>7560</v>
      </c>
      <c r="J106" s="3">
        <v>123</v>
      </c>
      <c r="K106" s="3">
        <v>1043</v>
      </c>
      <c r="L106" s="3">
        <f t="shared" si="1"/>
        <v>6517</v>
      </c>
    </row>
    <row r="107" spans="1:12" x14ac:dyDescent="0.3">
      <c r="A107" s="31">
        <v>45839</v>
      </c>
      <c r="B107" s="3">
        <v>2025</v>
      </c>
      <c r="C107" s="3">
        <v>7</v>
      </c>
      <c r="D107" s="3" t="s">
        <v>53</v>
      </c>
      <c r="E107" s="32">
        <v>45839</v>
      </c>
      <c r="F107" s="3">
        <v>401</v>
      </c>
      <c r="G107" s="3" t="s">
        <v>7</v>
      </c>
      <c r="H107" s="3">
        <v>1643</v>
      </c>
      <c r="I107" s="3">
        <v>1343</v>
      </c>
      <c r="J107" s="3">
        <v>90</v>
      </c>
      <c r="K107" s="3">
        <v>191</v>
      </c>
      <c r="L107" s="3">
        <f t="shared" si="1"/>
        <v>1152</v>
      </c>
    </row>
    <row r="108" spans="1:12" x14ac:dyDescent="0.3">
      <c r="A108" s="31">
        <v>45839</v>
      </c>
      <c r="B108" s="3">
        <v>2025</v>
      </c>
      <c r="C108" s="3">
        <v>7</v>
      </c>
      <c r="D108" s="3" t="s">
        <v>53</v>
      </c>
      <c r="E108" s="32">
        <v>45839</v>
      </c>
      <c r="F108" s="3">
        <v>402</v>
      </c>
      <c r="G108" s="3" t="s">
        <v>8</v>
      </c>
      <c r="H108" s="3">
        <v>3277</v>
      </c>
      <c r="I108" s="3">
        <v>8906</v>
      </c>
      <c r="J108" s="3">
        <v>116</v>
      </c>
      <c r="K108" s="3">
        <v>456</v>
      </c>
      <c r="L108" s="3">
        <f t="shared" si="1"/>
        <v>8450</v>
      </c>
    </row>
    <row r="109" spans="1:12" x14ac:dyDescent="0.3">
      <c r="A109" s="31">
        <v>45839</v>
      </c>
      <c r="B109" s="3">
        <v>2025</v>
      </c>
      <c r="C109" s="3">
        <v>7</v>
      </c>
      <c r="D109" s="3" t="s">
        <v>53</v>
      </c>
      <c r="E109" s="32">
        <v>45839</v>
      </c>
      <c r="F109" s="3">
        <v>403</v>
      </c>
      <c r="G109" s="3" t="s">
        <v>23</v>
      </c>
      <c r="H109" s="3">
        <v>551</v>
      </c>
      <c r="I109" s="3">
        <v>772</v>
      </c>
      <c r="J109" s="3">
        <v>784</v>
      </c>
      <c r="K109" s="3">
        <v>1660</v>
      </c>
      <c r="L109" s="3">
        <f t="shared" si="1"/>
        <v>-888</v>
      </c>
    </row>
    <row r="110" spans="1:12" x14ac:dyDescent="0.3">
      <c r="A110" s="31">
        <v>45839</v>
      </c>
      <c r="B110" s="3">
        <v>2025</v>
      </c>
      <c r="C110" s="3">
        <v>7</v>
      </c>
      <c r="D110" s="3" t="s">
        <v>53</v>
      </c>
      <c r="E110" s="32">
        <v>45839</v>
      </c>
      <c r="F110" s="3">
        <v>404</v>
      </c>
      <c r="G110" s="3" t="s">
        <v>9</v>
      </c>
      <c r="H110" s="3">
        <v>1228</v>
      </c>
      <c r="I110" s="3">
        <v>1231</v>
      </c>
      <c r="J110" s="3">
        <v>613</v>
      </c>
      <c r="K110" s="3">
        <v>1030</v>
      </c>
      <c r="L110" s="3">
        <f t="shared" si="1"/>
        <v>201</v>
      </c>
    </row>
    <row r="111" spans="1:12" x14ac:dyDescent="0.3">
      <c r="A111" s="31">
        <v>45839</v>
      </c>
      <c r="B111" s="3">
        <v>2025</v>
      </c>
      <c r="C111" s="3">
        <v>7</v>
      </c>
      <c r="D111" s="3" t="s">
        <v>53</v>
      </c>
      <c r="E111" s="32">
        <v>45839</v>
      </c>
      <c r="F111" s="3">
        <v>405</v>
      </c>
      <c r="G111" s="3" t="s">
        <v>10</v>
      </c>
      <c r="H111" s="3">
        <v>1346</v>
      </c>
      <c r="I111" s="3">
        <v>9760</v>
      </c>
      <c r="J111" s="3">
        <v>58</v>
      </c>
      <c r="K111" s="3">
        <v>527</v>
      </c>
      <c r="L111" s="3">
        <f t="shared" si="1"/>
        <v>9233</v>
      </c>
    </row>
    <row r="112" spans="1:12" x14ac:dyDescent="0.3">
      <c r="A112" s="31">
        <v>45839</v>
      </c>
      <c r="B112" s="3">
        <v>2025</v>
      </c>
      <c r="C112" s="3">
        <v>7</v>
      </c>
      <c r="D112" s="3" t="s">
        <v>53</v>
      </c>
      <c r="E112" s="32">
        <v>45839</v>
      </c>
      <c r="F112" s="3">
        <v>406</v>
      </c>
      <c r="G112" s="3" t="s">
        <v>11</v>
      </c>
      <c r="H112" s="3">
        <v>1165</v>
      </c>
      <c r="I112" s="3">
        <v>5294</v>
      </c>
      <c r="J112" s="3">
        <v>3234</v>
      </c>
      <c r="K112" s="3">
        <v>21054</v>
      </c>
      <c r="L112" s="3">
        <f t="shared" si="1"/>
        <v>-15760</v>
      </c>
    </row>
    <row r="113" spans="1:12" x14ac:dyDescent="0.3">
      <c r="A113" s="31">
        <v>45839</v>
      </c>
      <c r="B113" s="3">
        <v>2025</v>
      </c>
      <c r="C113" s="3">
        <v>7</v>
      </c>
      <c r="D113" s="3" t="s">
        <v>53</v>
      </c>
      <c r="E113" s="32">
        <v>45839</v>
      </c>
      <c r="F113" s="3">
        <v>2105</v>
      </c>
      <c r="G113" s="3" t="s">
        <v>25</v>
      </c>
      <c r="H113" s="3">
        <v>2627</v>
      </c>
      <c r="I113" s="3">
        <v>9965</v>
      </c>
      <c r="J113" s="3">
        <v>217</v>
      </c>
      <c r="K113" s="3">
        <v>1375</v>
      </c>
      <c r="L113" s="3">
        <f t="shared" si="1"/>
        <v>8590</v>
      </c>
    </row>
    <row r="114" spans="1:12" x14ac:dyDescent="0.3">
      <c r="A114" s="31">
        <v>45839</v>
      </c>
      <c r="B114" s="3">
        <v>2025</v>
      </c>
      <c r="C114" s="3">
        <v>7</v>
      </c>
      <c r="D114" s="3" t="s">
        <v>53</v>
      </c>
      <c r="E114" s="32">
        <v>45839</v>
      </c>
      <c r="F114" s="3">
        <v>3501</v>
      </c>
      <c r="G114" s="33" t="s">
        <v>26</v>
      </c>
      <c r="H114" s="3">
        <v>744</v>
      </c>
      <c r="I114" s="3">
        <v>4562</v>
      </c>
      <c r="J114" s="3">
        <v>25</v>
      </c>
      <c r="K114" s="3">
        <v>164</v>
      </c>
      <c r="L114" s="3">
        <f t="shared" si="1"/>
        <v>4398</v>
      </c>
    </row>
    <row r="115" spans="1:12" x14ac:dyDescent="0.3">
      <c r="A115" s="31">
        <v>45809</v>
      </c>
      <c r="B115" s="3">
        <v>2025</v>
      </c>
      <c r="C115" s="3">
        <v>6</v>
      </c>
      <c r="D115" s="3" t="s">
        <v>54</v>
      </c>
      <c r="E115" s="32">
        <v>45809</v>
      </c>
      <c r="F115" s="3">
        <v>102</v>
      </c>
      <c r="G115" s="3" t="s">
        <v>43</v>
      </c>
      <c r="H115" s="3">
        <v>1223.6000000000004</v>
      </c>
      <c r="I115" s="3">
        <v>5493.2000000000007</v>
      </c>
      <c r="J115" s="3">
        <v>245</v>
      </c>
      <c r="K115" s="3">
        <v>1867</v>
      </c>
      <c r="L115" s="3">
        <f t="shared" si="1"/>
        <v>3626.2000000000007</v>
      </c>
    </row>
    <row r="116" spans="1:12" x14ac:dyDescent="0.3">
      <c r="A116" s="31">
        <v>45809</v>
      </c>
      <c r="B116" s="3">
        <v>2025</v>
      </c>
      <c r="C116" s="3">
        <v>6</v>
      </c>
      <c r="D116" s="3" t="s">
        <v>54</v>
      </c>
      <c r="E116" s="32">
        <v>45809</v>
      </c>
      <c r="F116" s="3">
        <v>201</v>
      </c>
      <c r="G116" s="3" t="s">
        <v>44</v>
      </c>
      <c r="H116" s="3">
        <v>0.5</v>
      </c>
      <c r="I116" s="3">
        <v>151.89999999999998</v>
      </c>
      <c r="J116" s="3">
        <v>14.200000000000003</v>
      </c>
      <c r="K116" s="3">
        <v>396.20000000000005</v>
      </c>
      <c r="L116" s="3">
        <f t="shared" si="1"/>
        <v>-244.30000000000007</v>
      </c>
    </row>
    <row r="117" spans="1:12" x14ac:dyDescent="0.3">
      <c r="A117" s="31">
        <v>45809</v>
      </c>
      <c r="B117" s="3">
        <v>2025</v>
      </c>
      <c r="C117" s="3">
        <v>6</v>
      </c>
      <c r="D117" s="3" t="s">
        <v>54</v>
      </c>
      <c r="E117" s="32">
        <v>45809</v>
      </c>
      <c r="F117" s="3">
        <v>202</v>
      </c>
      <c r="G117" s="3" t="s">
        <v>45</v>
      </c>
      <c r="H117" s="3">
        <v>1619.1999999999998</v>
      </c>
      <c r="I117" s="3">
        <v>14663.599999999999</v>
      </c>
      <c r="J117" s="3">
        <v>148.70000000000005</v>
      </c>
      <c r="K117" s="3">
        <v>1168.5</v>
      </c>
      <c r="L117" s="3">
        <f t="shared" si="1"/>
        <v>13495.099999999999</v>
      </c>
    </row>
    <row r="118" spans="1:12" x14ac:dyDescent="0.3">
      <c r="A118" s="31">
        <v>45809</v>
      </c>
      <c r="B118" s="3">
        <v>2025</v>
      </c>
      <c r="C118" s="3">
        <v>6</v>
      </c>
      <c r="D118" s="3" t="s">
        <v>54</v>
      </c>
      <c r="E118" s="32">
        <v>45809</v>
      </c>
      <c r="F118" s="3">
        <v>401</v>
      </c>
      <c r="G118" s="3" t="s">
        <v>7</v>
      </c>
      <c r="H118" s="3">
        <v>1511.3000000000002</v>
      </c>
      <c r="I118" s="3">
        <v>1223.3999999999996</v>
      </c>
      <c r="J118" s="3">
        <v>93.200000000000045</v>
      </c>
      <c r="K118" s="3">
        <v>254.80000000000018</v>
      </c>
      <c r="L118" s="3">
        <f t="shared" si="1"/>
        <v>968.59999999999945</v>
      </c>
    </row>
    <row r="119" spans="1:12" x14ac:dyDescent="0.3">
      <c r="A119" s="31">
        <v>45809</v>
      </c>
      <c r="B119" s="3">
        <v>2025</v>
      </c>
      <c r="C119" s="3">
        <v>6</v>
      </c>
      <c r="D119" s="3" t="s">
        <v>54</v>
      </c>
      <c r="E119" s="32">
        <v>45809</v>
      </c>
      <c r="F119" s="3">
        <v>402</v>
      </c>
      <c r="G119" s="3" t="s">
        <v>8</v>
      </c>
      <c r="H119" s="3">
        <v>3010</v>
      </c>
      <c r="I119" s="3">
        <v>7605.3000000000029</v>
      </c>
      <c r="J119" s="3">
        <v>73.399999999999977</v>
      </c>
      <c r="K119" s="3">
        <v>274.69999999999982</v>
      </c>
      <c r="L119" s="3">
        <f t="shared" si="1"/>
        <v>7330.6000000000031</v>
      </c>
    </row>
    <row r="120" spans="1:12" x14ac:dyDescent="0.3">
      <c r="A120" s="31">
        <v>45809</v>
      </c>
      <c r="B120" s="3">
        <v>2025</v>
      </c>
      <c r="C120" s="3">
        <v>6</v>
      </c>
      <c r="D120" s="3" t="s">
        <v>54</v>
      </c>
      <c r="E120" s="32">
        <v>45809</v>
      </c>
      <c r="F120" s="3">
        <v>403</v>
      </c>
      <c r="G120" s="3" t="s">
        <v>23</v>
      </c>
      <c r="H120" s="3">
        <v>505.80000000000018</v>
      </c>
      <c r="I120" s="3">
        <v>814</v>
      </c>
      <c r="J120" s="3">
        <v>664.90000000000009</v>
      </c>
      <c r="K120" s="3">
        <v>1504.3999999999996</v>
      </c>
      <c r="L120" s="3">
        <f t="shared" si="1"/>
        <v>-690.39999999999964</v>
      </c>
    </row>
    <row r="121" spans="1:12" x14ac:dyDescent="0.3">
      <c r="A121" s="31">
        <v>45809</v>
      </c>
      <c r="B121" s="3">
        <v>2025</v>
      </c>
      <c r="C121" s="3">
        <v>6</v>
      </c>
      <c r="D121" s="3" t="s">
        <v>54</v>
      </c>
      <c r="E121" s="32">
        <v>45809</v>
      </c>
      <c r="F121" s="3">
        <v>404</v>
      </c>
      <c r="G121" s="3" t="s">
        <v>9</v>
      </c>
      <c r="H121" s="3">
        <v>1144.8999999999996</v>
      </c>
      <c r="I121" s="3">
        <v>1106.6999999999998</v>
      </c>
      <c r="J121" s="3">
        <v>429.5</v>
      </c>
      <c r="K121" s="3">
        <v>809.19999999999982</v>
      </c>
      <c r="L121" s="3">
        <f t="shared" si="1"/>
        <v>297.5</v>
      </c>
    </row>
    <row r="122" spans="1:12" x14ac:dyDescent="0.3">
      <c r="A122" s="31">
        <v>45809</v>
      </c>
      <c r="B122" s="3">
        <v>2025</v>
      </c>
      <c r="C122" s="3">
        <v>6</v>
      </c>
      <c r="D122" s="3" t="s">
        <v>54</v>
      </c>
      <c r="E122" s="32">
        <v>45809</v>
      </c>
      <c r="F122" s="3">
        <v>405</v>
      </c>
      <c r="G122" s="3" t="s">
        <v>10</v>
      </c>
      <c r="H122" s="3">
        <v>1447.6000000000004</v>
      </c>
      <c r="I122" s="3">
        <v>10363.599999999999</v>
      </c>
      <c r="J122" s="3">
        <v>94.699999999999989</v>
      </c>
      <c r="K122" s="3">
        <v>1048.1000000000004</v>
      </c>
      <c r="L122" s="3">
        <f t="shared" si="1"/>
        <v>9315.4999999999982</v>
      </c>
    </row>
    <row r="123" spans="1:12" x14ac:dyDescent="0.3">
      <c r="A123" s="31">
        <v>45809</v>
      </c>
      <c r="B123" s="3">
        <v>2025</v>
      </c>
      <c r="C123" s="3">
        <v>6</v>
      </c>
      <c r="D123" s="3" t="s">
        <v>54</v>
      </c>
      <c r="E123" s="32">
        <v>45809</v>
      </c>
      <c r="F123" s="3">
        <v>406</v>
      </c>
      <c r="G123" s="3" t="s">
        <v>11</v>
      </c>
      <c r="H123" s="3">
        <v>1186.8999999999996</v>
      </c>
      <c r="I123" s="3">
        <v>5264.5999999999985</v>
      </c>
      <c r="J123" s="3">
        <v>2848.7000000000007</v>
      </c>
      <c r="K123" s="3">
        <v>18772.699999999997</v>
      </c>
      <c r="L123" s="3">
        <f t="shared" si="1"/>
        <v>-13508.099999999999</v>
      </c>
    </row>
    <row r="124" spans="1:12" x14ac:dyDescent="0.3">
      <c r="A124" s="31">
        <v>45809</v>
      </c>
      <c r="B124" s="3">
        <v>2025</v>
      </c>
      <c r="C124" s="3">
        <v>6</v>
      </c>
      <c r="D124" s="3" t="s">
        <v>54</v>
      </c>
      <c r="E124" s="32">
        <v>45809</v>
      </c>
      <c r="F124" s="3">
        <v>2105</v>
      </c>
      <c r="G124" s="3" t="s">
        <v>25</v>
      </c>
      <c r="H124" s="3">
        <v>2246.1000000000004</v>
      </c>
      <c r="I124" s="3">
        <v>8262.7000000000007</v>
      </c>
      <c r="J124" s="3">
        <v>247.70000000000005</v>
      </c>
      <c r="K124" s="3">
        <v>1294.8000000000002</v>
      </c>
      <c r="L124" s="3">
        <f t="shared" si="1"/>
        <v>6967.9000000000005</v>
      </c>
    </row>
    <row r="125" spans="1:12" x14ac:dyDescent="0.3">
      <c r="A125" s="31">
        <v>45809</v>
      </c>
      <c r="B125" s="3">
        <v>2025</v>
      </c>
      <c r="C125" s="3">
        <v>6</v>
      </c>
      <c r="D125" s="3" t="s">
        <v>54</v>
      </c>
      <c r="E125" s="32">
        <v>45809</v>
      </c>
      <c r="F125" s="3">
        <v>3501</v>
      </c>
      <c r="G125" s="3" t="s">
        <v>26</v>
      </c>
      <c r="H125" s="3">
        <v>1336</v>
      </c>
      <c r="I125" s="3">
        <v>10990</v>
      </c>
      <c r="J125" s="3">
        <v>10</v>
      </c>
      <c r="K125" s="3">
        <v>76</v>
      </c>
      <c r="L125" s="3">
        <f t="shared" si="1"/>
        <v>10914</v>
      </c>
    </row>
    <row r="126" spans="1:12" x14ac:dyDescent="0.3">
      <c r="A126" s="31">
        <v>45778</v>
      </c>
      <c r="B126" s="3">
        <v>2025</v>
      </c>
      <c r="C126" s="3">
        <v>5</v>
      </c>
      <c r="D126" s="3" t="s">
        <v>55</v>
      </c>
      <c r="E126" s="32">
        <v>45778</v>
      </c>
      <c r="F126" s="3">
        <v>102</v>
      </c>
      <c r="G126" s="3" t="s">
        <v>43</v>
      </c>
      <c r="H126" s="3">
        <v>1405</v>
      </c>
      <c r="I126" s="3">
        <v>2891.4</v>
      </c>
      <c r="J126" s="3">
        <v>0</v>
      </c>
      <c r="K126" s="3">
        <v>0</v>
      </c>
      <c r="L126" s="3">
        <f t="shared" si="1"/>
        <v>2891.4</v>
      </c>
    </row>
    <row r="127" spans="1:12" x14ac:dyDescent="0.3">
      <c r="A127" s="31">
        <v>45778</v>
      </c>
      <c r="B127" s="3">
        <v>2025</v>
      </c>
      <c r="C127" s="3">
        <v>5</v>
      </c>
      <c r="D127" s="3" t="s">
        <v>55</v>
      </c>
      <c r="E127" s="32">
        <v>45778</v>
      </c>
      <c r="F127" s="3">
        <v>201</v>
      </c>
      <c r="G127" s="3" t="s">
        <v>44</v>
      </c>
      <c r="H127" s="3">
        <v>20.6</v>
      </c>
      <c r="I127" s="3">
        <v>137</v>
      </c>
      <c r="J127" s="3">
        <v>6.2</v>
      </c>
      <c r="K127" s="3">
        <v>139.80000000000001</v>
      </c>
      <c r="L127" s="3">
        <f t="shared" si="1"/>
        <v>-2.8000000000000114</v>
      </c>
    </row>
    <row r="128" spans="1:12" x14ac:dyDescent="0.3">
      <c r="A128" s="31">
        <v>45778</v>
      </c>
      <c r="B128" s="3">
        <v>2025</v>
      </c>
      <c r="C128" s="3">
        <v>5</v>
      </c>
      <c r="D128" s="3" t="s">
        <v>55</v>
      </c>
      <c r="E128" s="32">
        <v>45778</v>
      </c>
      <c r="F128" s="3">
        <v>202</v>
      </c>
      <c r="G128" s="3" t="s">
        <v>45</v>
      </c>
      <c r="H128" s="3">
        <v>1918.5</v>
      </c>
      <c r="I128" s="3">
        <v>7782.2</v>
      </c>
      <c r="J128" s="3">
        <v>102.1</v>
      </c>
      <c r="K128" s="3">
        <v>850.4</v>
      </c>
      <c r="L128" s="3">
        <f t="shared" si="1"/>
        <v>6931.8</v>
      </c>
    </row>
    <row r="129" spans="1:12" x14ac:dyDescent="0.3">
      <c r="A129" s="31">
        <v>45778</v>
      </c>
      <c r="B129" s="3">
        <v>2025</v>
      </c>
      <c r="C129" s="3">
        <v>5</v>
      </c>
      <c r="D129" s="3" t="s">
        <v>55</v>
      </c>
      <c r="E129" s="32">
        <v>45778</v>
      </c>
      <c r="F129" s="3">
        <v>401</v>
      </c>
      <c r="G129" s="3" t="s">
        <v>7</v>
      </c>
      <c r="H129" s="3">
        <v>1195.9000000000001</v>
      </c>
      <c r="I129" s="3">
        <v>1004.7</v>
      </c>
      <c r="J129" s="3">
        <v>141</v>
      </c>
      <c r="K129" s="3">
        <v>265.5</v>
      </c>
      <c r="L129" s="3">
        <f t="shared" si="1"/>
        <v>739.2</v>
      </c>
    </row>
    <row r="130" spans="1:12" x14ac:dyDescent="0.3">
      <c r="A130" s="31">
        <v>45778</v>
      </c>
      <c r="B130" s="3">
        <v>2025</v>
      </c>
      <c r="C130" s="3">
        <v>5</v>
      </c>
      <c r="D130" s="3" t="s">
        <v>55</v>
      </c>
      <c r="E130" s="32">
        <v>45778</v>
      </c>
      <c r="F130" s="3">
        <v>402</v>
      </c>
      <c r="G130" s="3" t="s">
        <v>8</v>
      </c>
      <c r="H130" s="3">
        <v>5043</v>
      </c>
      <c r="I130" s="3">
        <v>12987</v>
      </c>
      <c r="J130" s="3">
        <v>152.4</v>
      </c>
      <c r="K130" s="3">
        <v>504</v>
      </c>
      <c r="L130" s="3">
        <f t="shared" si="1"/>
        <v>12483</v>
      </c>
    </row>
    <row r="131" spans="1:12" x14ac:dyDescent="0.3">
      <c r="A131" s="31">
        <v>45778</v>
      </c>
      <c r="B131" s="3">
        <v>2025</v>
      </c>
      <c r="C131" s="3">
        <v>5</v>
      </c>
      <c r="D131" s="3" t="s">
        <v>55</v>
      </c>
      <c r="E131" s="32">
        <v>45778</v>
      </c>
      <c r="F131" s="3">
        <v>403</v>
      </c>
      <c r="G131" s="3" t="s">
        <v>23</v>
      </c>
      <c r="H131" s="3">
        <v>500.1</v>
      </c>
      <c r="I131" s="3">
        <v>684.8</v>
      </c>
      <c r="J131" s="3">
        <v>721.4</v>
      </c>
      <c r="K131" s="3">
        <v>1548.4</v>
      </c>
      <c r="L131" s="3">
        <f t="shared" ref="L131:L159" si="2">I131-K131</f>
        <v>-863.60000000000014</v>
      </c>
    </row>
    <row r="132" spans="1:12" x14ac:dyDescent="0.3">
      <c r="A132" s="31">
        <v>45778</v>
      </c>
      <c r="B132" s="3">
        <v>2025</v>
      </c>
      <c r="C132" s="3">
        <v>5</v>
      </c>
      <c r="D132" s="3" t="s">
        <v>55</v>
      </c>
      <c r="E132" s="32">
        <v>45778</v>
      </c>
      <c r="F132" s="3">
        <v>404</v>
      </c>
      <c r="G132" s="3" t="s">
        <v>9</v>
      </c>
      <c r="H132" s="3">
        <v>1707.6</v>
      </c>
      <c r="I132" s="3">
        <v>1591.8</v>
      </c>
      <c r="J132" s="3">
        <v>455.4</v>
      </c>
      <c r="K132" s="3">
        <v>968.2</v>
      </c>
      <c r="L132" s="3">
        <f t="shared" si="2"/>
        <v>623.59999999999991</v>
      </c>
    </row>
    <row r="133" spans="1:12" x14ac:dyDescent="0.3">
      <c r="A133" s="31">
        <v>45778</v>
      </c>
      <c r="B133" s="3">
        <v>2025</v>
      </c>
      <c r="C133" s="3">
        <v>5</v>
      </c>
      <c r="D133" s="3" t="s">
        <v>55</v>
      </c>
      <c r="E133" s="32">
        <v>45778</v>
      </c>
      <c r="F133" s="3">
        <v>405</v>
      </c>
      <c r="G133" s="3" t="s">
        <v>10</v>
      </c>
      <c r="H133" s="3">
        <v>2899.2</v>
      </c>
      <c r="I133" s="3">
        <v>20517.900000000001</v>
      </c>
      <c r="J133" s="3">
        <v>67.599999999999994</v>
      </c>
      <c r="K133" s="3">
        <v>629.20000000000005</v>
      </c>
      <c r="L133" s="3">
        <f t="shared" si="2"/>
        <v>19888.7</v>
      </c>
    </row>
    <row r="134" spans="1:12" x14ac:dyDescent="0.3">
      <c r="A134" s="31">
        <v>45778</v>
      </c>
      <c r="B134" s="3">
        <v>2025</v>
      </c>
      <c r="C134" s="3">
        <v>5</v>
      </c>
      <c r="D134" s="3" t="s">
        <v>55</v>
      </c>
      <c r="E134" s="32">
        <v>45778</v>
      </c>
      <c r="F134" s="3">
        <v>406</v>
      </c>
      <c r="G134" s="3" t="s">
        <v>11</v>
      </c>
      <c r="H134" s="3">
        <v>1295.9000000000001</v>
      </c>
      <c r="I134" s="3">
        <v>6020.9</v>
      </c>
      <c r="J134" s="3">
        <v>3232.8</v>
      </c>
      <c r="K134" s="3">
        <v>20882.7</v>
      </c>
      <c r="L134" s="3">
        <f t="shared" si="2"/>
        <v>-14861.800000000001</v>
      </c>
    </row>
    <row r="135" spans="1:12" x14ac:dyDescent="0.3">
      <c r="A135" s="31">
        <v>45778</v>
      </c>
      <c r="B135" s="3">
        <v>2025</v>
      </c>
      <c r="C135" s="3">
        <v>5</v>
      </c>
      <c r="D135" s="3" t="s">
        <v>55</v>
      </c>
      <c r="E135" s="32">
        <v>45778</v>
      </c>
      <c r="F135" s="3">
        <v>2105</v>
      </c>
      <c r="G135" s="3" t="s">
        <v>25</v>
      </c>
      <c r="H135" s="3">
        <v>2241.1999999999998</v>
      </c>
      <c r="I135" s="3">
        <v>8066.1</v>
      </c>
      <c r="J135" s="3">
        <v>286.5</v>
      </c>
      <c r="K135" s="3">
        <v>1529.5</v>
      </c>
      <c r="L135" s="3">
        <f t="shared" si="2"/>
        <v>6536.6</v>
      </c>
    </row>
    <row r="136" spans="1:12" x14ac:dyDescent="0.3">
      <c r="A136" s="31">
        <v>45778</v>
      </c>
      <c r="B136" s="3">
        <v>2025</v>
      </c>
      <c r="C136" s="3">
        <v>5</v>
      </c>
      <c r="D136" s="3" t="s">
        <v>55</v>
      </c>
      <c r="E136" s="32">
        <v>45778</v>
      </c>
      <c r="F136" s="3">
        <v>3501</v>
      </c>
      <c r="G136" s="3" t="s">
        <v>26</v>
      </c>
      <c r="H136" s="3">
        <v>0</v>
      </c>
      <c r="I136" s="3">
        <v>0</v>
      </c>
      <c r="J136" s="3">
        <v>0</v>
      </c>
      <c r="K136" s="3">
        <v>0</v>
      </c>
      <c r="L136" s="3">
        <f t="shared" si="2"/>
        <v>0</v>
      </c>
    </row>
    <row r="137" spans="1:12" x14ac:dyDescent="0.3">
      <c r="A137" s="31">
        <v>45748</v>
      </c>
      <c r="B137" s="3">
        <v>2025</v>
      </c>
      <c r="C137" s="3">
        <v>4</v>
      </c>
      <c r="D137" s="3" t="s">
        <v>56</v>
      </c>
      <c r="E137" s="32">
        <v>45748</v>
      </c>
      <c r="F137" s="3">
        <v>102</v>
      </c>
      <c r="G137" s="3" t="s">
        <v>43</v>
      </c>
      <c r="H137" s="3">
        <v>2488.8000000000002</v>
      </c>
      <c r="I137" s="3">
        <v>4973.6000000000004</v>
      </c>
      <c r="J137" s="3">
        <v>0</v>
      </c>
      <c r="K137" s="3">
        <v>0</v>
      </c>
      <c r="L137" s="3">
        <f t="shared" si="2"/>
        <v>4973.6000000000004</v>
      </c>
    </row>
    <row r="138" spans="1:12" x14ac:dyDescent="0.3">
      <c r="A138" s="31">
        <v>45748</v>
      </c>
      <c r="B138" s="3">
        <v>2025</v>
      </c>
      <c r="C138" s="3">
        <v>4</v>
      </c>
      <c r="D138" s="3" t="s">
        <v>56</v>
      </c>
      <c r="E138" s="32">
        <v>45748</v>
      </c>
      <c r="F138" s="3">
        <v>201</v>
      </c>
      <c r="G138" s="3" t="s">
        <v>44</v>
      </c>
      <c r="H138" s="3">
        <v>21.4</v>
      </c>
      <c r="I138" s="3">
        <v>136.80000000000001</v>
      </c>
      <c r="J138" s="3">
        <v>15.7</v>
      </c>
      <c r="K138" s="3">
        <v>381.4</v>
      </c>
      <c r="L138" s="3">
        <f t="shared" si="2"/>
        <v>-244.59999999999997</v>
      </c>
    </row>
    <row r="139" spans="1:12" x14ac:dyDescent="0.3">
      <c r="A139" s="31">
        <v>45748</v>
      </c>
      <c r="B139" s="3">
        <v>2025</v>
      </c>
      <c r="C139" s="3">
        <v>4</v>
      </c>
      <c r="D139" s="3" t="s">
        <v>56</v>
      </c>
      <c r="E139" s="32">
        <v>45748</v>
      </c>
      <c r="F139" s="3">
        <v>202</v>
      </c>
      <c r="G139" s="3" t="s">
        <v>45</v>
      </c>
      <c r="H139" s="3">
        <v>1513.5</v>
      </c>
      <c r="I139" s="3">
        <v>5629.2000000000007</v>
      </c>
      <c r="J139" s="3">
        <v>172.1</v>
      </c>
      <c r="K139" s="3">
        <v>1057.5</v>
      </c>
      <c r="L139" s="3">
        <f t="shared" si="2"/>
        <v>4571.7000000000007</v>
      </c>
    </row>
    <row r="140" spans="1:12" x14ac:dyDescent="0.3">
      <c r="A140" s="31">
        <v>45748</v>
      </c>
      <c r="B140" s="3">
        <v>2025</v>
      </c>
      <c r="C140" s="3">
        <v>4</v>
      </c>
      <c r="D140" s="3" t="s">
        <v>56</v>
      </c>
      <c r="E140" s="32">
        <v>45748</v>
      </c>
      <c r="F140" s="3">
        <v>401</v>
      </c>
      <c r="G140" s="3" t="s">
        <v>7</v>
      </c>
      <c r="H140" s="3">
        <v>1421</v>
      </c>
      <c r="I140" s="3">
        <v>1100.0999999999999</v>
      </c>
      <c r="J140" s="3">
        <v>247.29999999999995</v>
      </c>
      <c r="K140" s="3">
        <v>545</v>
      </c>
      <c r="L140" s="3">
        <f t="shared" si="2"/>
        <v>555.09999999999991</v>
      </c>
    </row>
    <row r="141" spans="1:12" x14ac:dyDescent="0.3">
      <c r="A141" s="31">
        <v>45748</v>
      </c>
      <c r="B141" s="3">
        <v>2025</v>
      </c>
      <c r="C141" s="3">
        <v>4</v>
      </c>
      <c r="D141" s="3" t="s">
        <v>56</v>
      </c>
      <c r="E141" s="32">
        <v>45748</v>
      </c>
      <c r="F141" s="3">
        <v>402</v>
      </c>
      <c r="G141" s="3" t="s">
        <v>8</v>
      </c>
      <c r="H141" s="3">
        <v>3878.7</v>
      </c>
      <c r="I141" s="3">
        <v>9544.1</v>
      </c>
      <c r="J141" s="3">
        <v>115.80000000000001</v>
      </c>
      <c r="K141" s="3">
        <v>456.79999999999995</v>
      </c>
      <c r="L141" s="3">
        <f t="shared" si="2"/>
        <v>9087.3000000000011</v>
      </c>
    </row>
    <row r="142" spans="1:12" x14ac:dyDescent="0.3">
      <c r="A142" s="31">
        <v>45748</v>
      </c>
      <c r="B142" s="3">
        <v>2025</v>
      </c>
      <c r="C142" s="3">
        <v>4</v>
      </c>
      <c r="D142" s="3" t="s">
        <v>56</v>
      </c>
      <c r="E142" s="32">
        <v>45748</v>
      </c>
      <c r="F142" s="3">
        <v>403</v>
      </c>
      <c r="G142" s="3" t="s">
        <v>23</v>
      </c>
      <c r="H142" s="3">
        <v>424.6</v>
      </c>
      <c r="I142" s="3">
        <v>706.59999999999991</v>
      </c>
      <c r="J142" s="3">
        <v>905.59999999999991</v>
      </c>
      <c r="K142" s="3">
        <v>1910.6</v>
      </c>
      <c r="L142" s="3">
        <f t="shared" si="2"/>
        <v>-1204</v>
      </c>
    </row>
    <row r="143" spans="1:12" x14ac:dyDescent="0.3">
      <c r="A143" s="31">
        <v>45748</v>
      </c>
      <c r="B143" s="3">
        <v>2025</v>
      </c>
      <c r="C143" s="3">
        <v>4</v>
      </c>
      <c r="D143" s="3" t="s">
        <v>56</v>
      </c>
      <c r="E143" s="32">
        <v>45748</v>
      </c>
      <c r="F143" s="3">
        <v>404</v>
      </c>
      <c r="G143" s="3" t="s">
        <v>9</v>
      </c>
      <c r="H143" s="3">
        <v>1828.4</v>
      </c>
      <c r="I143" s="3">
        <v>1701</v>
      </c>
      <c r="J143" s="3">
        <v>154.70000000000005</v>
      </c>
      <c r="K143" s="3">
        <v>290.20000000000005</v>
      </c>
      <c r="L143" s="3">
        <f t="shared" si="2"/>
        <v>1410.8</v>
      </c>
    </row>
    <row r="144" spans="1:12" x14ac:dyDescent="0.3">
      <c r="A144" s="31">
        <v>45748</v>
      </c>
      <c r="B144" s="3">
        <v>2025</v>
      </c>
      <c r="C144" s="3">
        <v>4</v>
      </c>
      <c r="D144" s="3" t="s">
        <v>56</v>
      </c>
      <c r="E144" s="32">
        <v>45748</v>
      </c>
      <c r="F144" s="3">
        <v>405</v>
      </c>
      <c r="G144" s="3" t="s">
        <v>10</v>
      </c>
      <c r="H144" s="3">
        <v>1411.8</v>
      </c>
      <c r="I144" s="3">
        <v>10019.299999999999</v>
      </c>
      <c r="J144" s="3">
        <v>165.5</v>
      </c>
      <c r="K144" s="3">
        <v>1584.8</v>
      </c>
      <c r="L144" s="3">
        <f t="shared" si="2"/>
        <v>8434.5</v>
      </c>
    </row>
    <row r="145" spans="1:12" x14ac:dyDescent="0.3">
      <c r="A145" s="31">
        <v>45748</v>
      </c>
      <c r="B145" s="3">
        <v>2025</v>
      </c>
      <c r="C145" s="3">
        <v>4</v>
      </c>
      <c r="D145" s="3" t="s">
        <v>56</v>
      </c>
      <c r="E145" s="32">
        <v>45748</v>
      </c>
      <c r="F145" s="3">
        <v>406</v>
      </c>
      <c r="G145" s="3" t="s">
        <v>11</v>
      </c>
      <c r="H145" s="3">
        <v>1153.5</v>
      </c>
      <c r="I145" s="3">
        <v>5343.2999999999993</v>
      </c>
      <c r="J145" s="3">
        <v>3947</v>
      </c>
      <c r="K145" s="3">
        <v>24778.9</v>
      </c>
      <c r="L145" s="3">
        <f t="shared" si="2"/>
        <v>-19435.600000000002</v>
      </c>
    </row>
    <row r="146" spans="1:12" x14ac:dyDescent="0.3">
      <c r="A146" s="31">
        <v>45748</v>
      </c>
      <c r="B146" s="3">
        <v>2025</v>
      </c>
      <c r="C146" s="3">
        <v>4</v>
      </c>
      <c r="D146" s="3" t="s">
        <v>56</v>
      </c>
      <c r="E146" s="32">
        <v>45748</v>
      </c>
      <c r="F146" s="3">
        <v>2105</v>
      </c>
      <c r="G146" s="3" t="s">
        <v>25</v>
      </c>
      <c r="H146" s="3">
        <v>1529.4</v>
      </c>
      <c r="I146" s="3">
        <v>5437.7</v>
      </c>
      <c r="J146" s="3">
        <v>182.5</v>
      </c>
      <c r="K146" s="3">
        <v>962.5</v>
      </c>
      <c r="L146" s="3">
        <f t="shared" si="2"/>
        <v>4475.2</v>
      </c>
    </row>
    <row r="147" spans="1:12" x14ac:dyDescent="0.3">
      <c r="A147" s="31">
        <v>45748</v>
      </c>
      <c r="B147" s="3">
        <v>2025</v>
      </c>
      <c r="C147" s="3">
        <v>4</v>
      </c>
      <c r="D147" s="3" t="s">
        <v>56</v>
      </c>
      <c r="E147" s="32">
        <v>45748</v>
      </c>
      <c r="F147" s="3">
        <v>3501</v>
      </c>
      <c r="G147" s="3" t="s">
        <v>26</v>
      </c>
      <c r="H147" s="3">
        <v>624</v>
      </c>
      <c r="I147" s="3">
        <v>4044</v>
      </c>
      <c r="J147" s="3">
        <v>17</v>
      </c>
      <c r="K147" s="3">
        <v>93</v>
      </c>
      <c r="L147" s="3">
        <f t="shared" si="2"/>
        <v>3951</v>
      </c>
    </row>
    <row r="148" spans="1:12" x14ac:dyDescent="0.3">
      <c r="A148" s="31">
        <v>45717</v>
      </c>
      <c r="B148" s="3">
        <v>2025</v>
      </c>
      <c r="C148" s="3">
        <v>3</v>
      </c>
      <c r="D148" s="3" t="s">
        <v>57</v>
      </c>
      <c r="E148" s="32">
        <v>45717</v>
      </c>
      <c r="F148" s="3">
        <v>102</v>
      </c>
      <c r="G148" s="3" t="s">
        <v>43</v>
      </c>
      <c r="H148" s="3">
        <v>2488.8000000000002</v>
      </c>
      <c r="I148" s="3">
        <v>4973.6000000000004</v>
      </c>
      <c r="J148" s="3">
        <v>0</v>
      </c>
      <c r="K148" s="3">
        <v>0</v>
      </c>
      <c r="L148" s="3">
        <f t="shared" si="2"/>
        <v>4973.6000000000004</v>
      </c>
    </row>
    <row r="149" spans="1:12" x14ac:dyDescent="0.3">
      <c r="A149" s="31">
        <v>45717</v>
      </c>
      <c r="B149" s="3">
        <v>2025</v>
      </c>
      <c r="C149" s="3">
        <v>3</v>
      </c>
      <c r="D149" s="3" t="s">
        <v>57</v>
      </c>
      <c r="E149" s="32">
        <v>45717</v>
      </c>
      <c r="F149" s="3">
        <v>201</v>
      </c>
      <c r="G149" s="3" t="s">
        <v>44</v>
      </c>
      <c r="H149" s="3">
        <v>21.4</v>
      </c>
      <c r="I149" s="3">
        <v>136.80000000000001</v>
      </c>
      <c r="J149" s="3">
        <v>15.7</v>
      </c>
      <c r="K149" s="3">
        <v>381.4</v>
      </c>
      <c r="L149" s="3">
        <f t="shared" si="2"/>
        <v>-244.59999999999997</v>
      </c>
    </row>
    <row r="150" spans="1:12" x14ac:dyDescent="0.3">
      <c r="A150" s="31">
        <v>45717</v>
      </c>
      <c r="B150" s="3">
        <v>2025</v>
      </c>
      <c r="C150" s="3">
        <v>3</v>
      </c>
      <c r="D150" s="3" t="s">
        <v>57</v>
      </c>
      <c r="E150" s="32">
        <v>45717</v>
      </c>
      <c r="F150" s="3">
        <v>202</v>
      </c>
      <c r="G150" s="3" t="s">
        <v>45</v>
      </c>
      <c r="H150" s="3">
        <v>1513.5</v>
      </c>
      <c r="I150" s="3">
        <v>5629.2000000000007</v>
      </c>
      <c r="J150" s="3">
        <v>172.1</v>
      </c>
      <c r="K150" s="3">
        <v>1057.5</v>
      </c>
      <c r="L150" s="3">
        <f t="shared" si="2"/>
        <v>4571.7000000000007</v>
      </c>
    </row>
    <row r="151" spans="1:12" x14ac:dyDescent="0.3">
      <c r="A151" s="31">
        <v>45717</v>
      </c>
      <c r="B151" s="3">
        <v>2025</v>
      </c>
      <c r="C151" s="3">
        <v>3</v>
      </c>
      <c r="D151" s="3" t="s">
        <v>57</v>
      </c>
      <c r="E151" s="32">
        <v>45717</v>
      </c>
      <c r="F151" s="3">
        <v>401</v>
      </c>
      <c r="G151" s="3" t="s">
        <v>7</v>
      </c>
      <c r="H151" s="3">
        <v>1421</v>
      </c>
      <c r="I151" s="3">
        <v>1100.0999999999999</v>
      </c>
      <c r="J151" s="3">
        <v>247.29999999999995</v>
      </c>
      <c r="K151" s="3">
        <v>545</v>
      </c>
      <c r="L151" s="3">
        <f t="shared" si="2"/>
        <v>555.09999999999991</v>
      </c>
    </row>
    <row r="152" spans="1:12" x14ac:dyDescent="0.3">
      <c r="A152" s="31">
        <v>45717</v>
      </c>
      <c r="B152" s="3">
        <v>2025</v>
      </c>
      <c r="C152" s="3">
        <v>3</v>
      </c>
      <c r="D152" s="3" t="s">
        <v>57</v>
      </c>
      <c r="E152" s="32">
        <v>45717</v>
      </c>
      <c r="F152" s="3">
        <v>402</v>
      </c>
      <c r="G152" s="3" t="s">
        <v>8</v>
      </c>
      <c r="H152" s="3">
        <v>3878.7</v>
      </c>
      <c r="I152" s="3">
        <v>9544.1</v>
      </c>
      <c r="J152" s="3">
        <v>115.80000000000001</v>
      </c>
      <c r="K152" s="3">
        <v>456.79999999999995</v>
      </c>
      <c r="L152" s="3">
        <f t="shared" si="2"/>
        <v>9087.3000000000011</v>
      </c>
    </row>
    <row r="153" spans="1:12" x14ac:dyDescent="0.3">
      <c r="A153" s="31">
        <v>45717</v>
      </c>
      <c r="B153" s="3">
        <v>2025</v>
      </c>
      <c r="C153" s="3">
        <v>3</v>
      </c>
      <c r="D153" s="3" t="s">
        <v>57</v>
      </c>
      <c r="E153" s="32">
        <v>45717</v>
      </c>
      <c r="F153" s="3">
        <v>403</v>
      </c>
      <c r="G153" s="3" t="s">
        <v>23</v>
      </c>
      <c r="H153" s="3">
        <v>424.6</v>
      </c>
      <c r="I153" s="3">
        <v>706.59999999999991</v>
      </c>
      <c r="J153" s="3">
        <v>905.59999999999991</v>
      </c>
      <c r="K153" s="3">
        <v>1910.6</v>
      </c>
      <c r="L153" s="3">
        <f t="shared" si="2"/>
        <v>-1204</v>
      </c>
    </row>
    <row r="154" spans="1:12" x14ac:dyDescent="0.3">
      <c r="A154" s="31">
        <v>45717</v>
      </c>
      <c r="B154" s="3">
        <v>2025</v>
      </c>
      <c r="C154" s="3">
        <v>3</v>
      </c>
      <c r="D154" s="3" t="s">
        <v>57</v>
      </c>
      <c r="E154" s="32">
        <v>45717</v>
      </c>
      <c r="F154" s="3">
        <v>404</v>
      </c>
      <c r="G154" s="3" t="s">
        <v>9</v>
      </c>
      <c r="H154" s="3">
        <v>1828.4</v>
      </c>
      <c r="I154" s="3">
        <v>1701</v>
      </c>
      <c r="J154" s="3">
        <v>154.70000000000005</v>
      </c>
      <c r="K154" s="3">
        <v>290.20000000000005</v>
      </c>
      <c r="L154" s="3">
        <f t="shared" si="2"/>
        <v>1410.8</v>
      </c>
    </row>
    <row r="155" spans="1:12" x14ac:dyDescent="0.3">
      <c r="A155" s="31">
        <v>45717</v>
      </c>
      <c r="B155" s="3">
        <v>2025</v>
      </c>
      <c r="C155" s="3">
        <v>3</v>
      </c>
      <c r="D155" s="3" t="s">
        <v>57</v>
      </c>
      <c r="E155" s="32">
        <v>45717</v>
      </c>
      <c r="F155" s="3">
        <v>405</v>
      </c>
      <c r="G155" s="3" t="s">
        <v>10</v>
      </c>
      <c r="H155" s="3">
        <v>1411.8</v>
      </c>
      <c r="I155" s="3">
        <v>10019.299999999999</v>
      </c>
      <c r="J155" s="3">
        <v>165.5</v>
      </c>
      <c r="K155" s="3">
        <v>1584.8</v>
      </c>
      <c r="L155" s="3">
        <f t="shared" si="2"/>
        <v>8434.5</v>
      </c>
    </row>
    <row r="156" spans="1:12" x14ac:dyDescent="0.3">
      <c r="A156" s="31">
        <v>45717</v>
      </c>
      <c r="B156" s="3">
        <v>2025</v>
      </c>
      <c r="C156" s="3">
        <v>3</v>
      </c>
      <c r="D156" s="3" t="s">
        <v>57</v>
      </c>
      <c r="E156" s="32">
        <v>45717</v>
      </c>
      <c r="F156" s="3">
        <v>406</v>
      </c>
      <c r="G156" s="3" t="s">
        <v>11</v>
      </c>
      <c r="H156" s="3">
        <v>1153.5</v>
      </c>
      <c r="I156" s="3">
        <v>5343.2999999999993</v>
      </c>
      <c r="J156" s="3">
        <v>3947</v>
      </c>
      <c r="K156" s="3">
        <v>24778.9</v>
      </c>
      <c r="L156" s="3">
        <f t="shared" si="2"/>
        <v>-19435.600000000002</v>
      </c>
    </row>
    <row r="157" spans="1:12" x14ac:dyDescent="0.3">
      <c r="A157" s="31">
        <v>45717</v>
      </c>
      <c r="B157" s="3">
        <v>2025</v>
      </c>
      <c r="C157" s="3">
        <v>3</v>
      </c>
      <c r="D157" s="3" t="s">
        <v>57</v>
      </c>
      <c r="E157" s="32">
        <v>45717</v>
      </c>
      <c r="F157" s="3">
        <v>2105</v>
      </c>
      <c r="G157" s="3" t="s">
        <v>25</v>
      </c>
      <c r="H157" s="3">
        <v>1529.4</v>
      </c>
      <c r="I157" s="3">
        <v>5437.7</v>
      </c>
      <c r="J157" s="3">
        <v>182.5</v>
      </c>
      <c r="K157" s="3">
        <v>962.5</v>
      </c>
      <c r="L157" s="3">
        <f t="shared" si="2"/>
        <v>4475.2</v>
      </c>
    </row>
    <row r="158" spans="1:12" x14ac:dyDescent="0.3">
      <c r="A158" s="31">
        <v>45717</v>
      </c>
      <c r="B158" s="3">
        <v>2025</v>
      </c>
      <c r="C158" s="3">
        <v>3</v>
      </c>
      <c r="D158" s="3" t="s">
        <v>57</v>
      </c>
      <c r="E158" s="32">
        <v>45717</v>
      </c>
      <c r="F158" s="3">
        <v>3501</v>
      </c>
      <c r="G158" s="3" t="s">
        <v>26</v>
      </c>
      <c r="H158" s="3">
        <v>624</v>
      </c>
      <c r="I158" s="3">
        <v>4044</v>
      </c>
      <c r="J158" s="3">
        <v>17</v>
      </c>
      <c r="K158" s="3">
        <v>93</v>
      </c>
      <c r="L158" s="3">
        <f t="shared" si="2"/>
        <v>3951</v>
      </c>
    </row>
    <row r="159" spans="1:12" x14ac:dyDescent="0.3">
      <c r="A159" s="31">
        <v>45689</v>
      </c>
      <c r="B159" s="3">
        <v>2025</v>
      </c>
      <c r="C159" s="3">
        <v>2</v>
      </c>
      <c r="D159" s="3" t="s">
        <v>58</v>
      </c>
      <c r="E159" s="32">
        <v>45689</v>
      </c>
      <c r="F159" s="3">
        <v>102</v>
      </c>
      <c r="G159" s="3" t="s">
        <v>43</v>
      </c>
      <c r="H159" s="3">
        <v>1305.2</v>
      </c>
      <c r="I159" s="3">
        <v>2819.4</v>
      </c>
      <c r="J159" s="3">
        <v>0</v>
      </c>
      <c r="K159" s="3">
        <v>0</v>
      </c>
      <c r="L159" s="3">
        <f t="shared" si="2"/>
        <v>2819.4</v>
      </c>
    </row>
    <row r="160" spans="1:12" x14ac:dyDescent="0.3">
      <c r="A160" s="31">
        <v>45689</v>
      </c>
      <c r="B160" s="3">
        <v>2025</v>
      </c>
      <c r="C160" s="3">
        <v>2</v>
      </c>
      <c r="D160" s="3" t="s">
        <v>58</v>
      </c>
      <c r="E160" s="32">
        <v>45689</v>
      </c>
      <c r="F160" s="3">
        <v>201</v>
      </c>
      <c r="G160" s="3" t="s">
        <v>44</v>
      </c>
      <c r="H160" s="3">
        <v>0.6</v>
      </c>
      <c r="I160" s="3">
        <v>8.1999999999999993</v>
      </c>
      <c r="J160" s="3">
        <v>13.3</v>
      </c>
      <c r="K160" s="3">
        <v>290.60000000000002</v>
      </c>
      <c r="L160" s="3">
        <f>I160-K160</f>
        <v>-282.40000000000003</v>
      </c>
    </row>
    <row r="161" spans="1:12" x14ac:dyDescent="0.3">
      <c r="A161" s="31">
        <v>45689</v>
      </c>
      <c r="B161" s="3">
        <v>2025</v>
      </c>
      <c r="C161" s="3">
        <v>2</v>
      </c>
      <c r="D161" s="3" t="s">
        <v>58</v>
      </c>
      <c r="E161" s="32">
        <v>45689</v>
      </c>
      <c r="F161" s="3">
        <v>202</v>
      </c>
      <c r="G161" s="3" t="s">
        <v>45</v>
      </c>
      <c r="H161" s="3">
        <v>1322.5</v>
      </c>
      <c r="I161" s="3">
        <v>4819.8</v>
      </c>
      <c r="J161" s="3">
        <v>87.9</v>
      </c>
      <c r="K161" s="3">
        <v>562.5</v>
      </c>
      <c r="L161" s="3">
        <f>I161-K161</f>
        <v>4257.3</v>
      </c>
    </row>
    <row r="162" spans="1:12" x14ac:dyDescent="0.3">
      <c r="A162" s="31">
        <v>45689</v>
      </c>
      <c r="B162" s="3">
        <v>2025</v>
      </c>
      <c r="C162" s="3">
        <v>2</v>
      </c>
      <c r="D162" s="3" t="s">
        <v>58</v>
      </c>
      <c r="E162" s="32">
        <v>45689</v>
      </c>
      <c r="F162" s="3">
        <v>401</v>
      </c>
      <c r="G162" s="3" t="s">
        <v>7</v>
      </c>
      <c r="H162" s="3">
        <v>2091</v>
      </c>
      <c r="I162" s="3">
        <v>1536.9</v>
      </c>
      <c r="J162" s="3">
        <v>246.7</v>
      </c>
      <c r="K162" s="3">
        <v>279</v>
      </c>
      <c r="L162" s="3">
        <f t="shared" ref="L162:L191" si="3">I162-K162</f>
        <v>1257.9000000000001</v>
      </c>
    </row>
    <row r="163" spans="1:12" x14ac:dyDescent="0.3">
      <c r="A163" s="31">
        <v>45689</v>
      </c>
      <c r="B163" s="3">
        <v>2025</v>
      </c>
      <c r="C163" s="3">
        <v>2</v>
      </c>
      <c r="D163" s="3" t="s">
        <v>58</v>
      </c>
      <c r="E163" s="32">
        <v>45689</v>
      </c>
      <c r="F163" s="3">
        <v>402</v>
      </c>
      <c r="G163" s="3" t="s">
        <v>8</v>
      </c>
      <c r="H163" s="3">
        <v>3245.3</v>
      </c>
      <c r="I163" s="3">
        <v>8524.9</v>
      </c>
      <c r="J163" s="3">
        <v>198.2</v>
      </c>
      <c r="K163" s="3">
        <v>797.2</v>
      </c>
      <c r="L163" s="3">
        <f t="shared" si="3"/>
        <v>7727.7</v>
      </c>
    </row>
    <row r="164" spans="1:12" x14ac:dyDescent="0.3">
      <c r="A164" s="31">
        <v>45689</v>
      </c>
      <c r="B164" s="3">
        <v>2025</v>
      </c>
      <c r="C164" s="3">
        <v>2</v>
      </c>
      <c r="D164" s="3" t="s">
        <v>58</v>
      </c>
      <c r="E164" s="32">
        <v>45689</v>
      </c>
      <c r="F164" s="3">
        <v>403</v>
      </c>
      <c r="G164" s="3" t="s">
        <v>23</v>
      </c>
      <c r="H164" s="3">
        <v>427.4</v>
      </c>
      <c r="I164" s="3">
        <v>575.4</v>
      </c>
      <c r="J164" s="3">
        <v>733.4</v>
      </c>
      <c r="K164" s="3">
        <v>1426.4</v>
      </c>
      <c r="L164" s="3">
        <f t="shared" si="3"/>
        <v>-851.00000000000011</v>
      </c>
    </row>
    <row r="165" spans="1:12" x14ac:dyDescent="0.3">
      <c r="A165" s="31">
        <v>45689</v>
      </c>
      <c r="B165" s="3">
        <v>2025</v>
      </c>
      <c r="C165" s="3">
        <v>2</v>
      </c>
      <c r="D165" s="3" t="s">
        <v>58</v>
      </c>
      <c r="E165" s="32">
        <v>45689</v>
      </c>
      <c r="F165" s="3">
        <v>404</v>
      </c>
      <c r="G165" s="3" t="s">
        <v>9</v>
      </c>
      <c r="H165" s="3">
        <v>1505.6</v>
      </c>
      <c r="I165" s="3">
        <v>1376</v>
      </c>
      <c r="J165" s="3">
        <v>323.3</v>
      </c>
      <c r="K165" s="3">
        <v>532.79999999999995</v>
      </c>
      <c r="L165" s="3">
        <f t="shared" si="3"/>
        <v>843.2</v>
      </c>
    </row>
    <row r="166" spans="1:12" x14ac:dyDescent="0.3">
      <c r="A166" s="31">
        <v>45689</v>
      </c>
      <c r="B166" s="3">
        <v>2025</v>
      </c>
      <c r="C166" s="3">
        <v>2</v>
      </c>
      <c r="D166" s="3" t="s">
        <v>58</v>
      </c>
      <c r="E166" s="32">
        <v>45689</v>
      </c>
      <c r="F166" s="3">
        <v>405</v>
      </c>
      <c r="G166" s="3" t="s">
        <v>10</v>
      </c>
      <c r="H166" s="3">
        <v>1001.2</v>
      </c>
      <c r="I166" s="3">
        <v>7205.7</v>
      </c>
      <c r="J166" s="3">
        <v>47.5</v>
      </c>
      <c r="K166" s="3">
        <v>505.2</v>
      </c>
      <c r="L166" s="3">
        <f t="shared" si="3"/>
        <v>6700.5</v>
      </c>
    </row>
    <row r="167" spans="1:12" x14ac:dyDescent="0.3">
      <c r="A167" s="31">
        <v>45689</v>
      </c>
      <c r="B167" s="3">
        <v>2025</v>
      </c>
      <c r="C167" s="3">
        <v>2</v>
      </c>
      <c r="D167" s="3" t="s">
        <v>58</v>
      </c>
      <c r="E167" s="32">
        <v>45689</v>
      </c>
      <c r="F167" s="3">
        <v>406</v>
      </c>
      <c r="G167" s="3" t="s">
        <v>11</v>
      </c>
      <c r="H167" s="3">
        <v>1075.5</v>
      </c>
      <c r="I167" s="3">
        <v>4947.7</v>
      </c>
      <c r="J167" s="3">
        <v>2997</v>
      </c>
      <c r="K167" s="3">
        <v>17844.099999999999</v>
      </c>
      <c r="L167" s="3">
        <f t="shared" si="3"/>
        <v>-12896.399999999998</v>
      </c>
    </row>
    <row r="168" spans="1:12" x14ac:dyDescent="0.3">
      <c r="A168" s="31">
        <v>45689</v>
      </c>
      <c r="B168" s="3">
        <v>2025</v>
      </c>
      <c r="C168" s="3">
        <v>2</v>
      </c>
      <c r="D168" s="3" t="s">
        <v>58</v>
      </c>
      <c r="E168" s="32">
        <v>45689</v>
      </c>
      <c r="F168" s="3">
        <v>2105</v>
      </c>
      <c r="G168" s="3" t="s">
        <v>25</v>
      </c>
      <c r="H168" s="3">
        <v>868.6</v>
      </c>
      <c r="I168" s="3">
        <v>3025.3</v>
      </c>
      <c r="J168" s="3">
        <v>61.5</v>
      </c>
      <c r="K168" s="3">
        <v>472.5</v>
      </c>
      <c r="L168" s="3">
        <f t="shared" si="3"/>
        <v>2552.8000000000002</v>
      </c>
    </row>
    <row r="169" spans="1:12" x14ac:dyDescent="0.3">
      <c r="A169" s="31">
        <v>45689</v>
      </c>
      <c r="B169" s="3">
        <v>2025</v>
      </c>
      <c r="C169" s="3">
        <v>2</v>
      </c>
      <c r="D169" s="3" t="s">
        <v>58</v>
      </c>
      <c r="E169" s="32">
        <v>45689</v>
      </c>
      <c r="F169" s="3">
        <v>3501</v>
      </c>
      <c r="G169" s="3" t="s">
        <v>26</v>
      </c>
      <c r="H169" s="3">
        <v>0</v>
      </c>
      <c r="I169" s="3">
        <v>0</v>
      </c>
      <c r="J169" s="3">
        <v>0</v>
      </c>
      <c r="K169" s="3">
        <v>0</v>
      </c>
      <c r="L169" s="3">
        <f t="shared" si="3"/>
        <v>0</v>
      </c>
    </row>
    <row r="170" spans="1:12" x14ac:dyDescent="0.3">
      <c r="A170" s="31">
        <v>45658</v>
      </c>
      <c r="B170" s="3">
        <v>2025</v>
      </c>
      <c r="C170" s="3">
        <v>1</v>
      </c>
      <c r="D170" s="3" t="s">
        <v>59</v>
      </c>
      <c r="E170" s="32">
        <v>45658</v>
      </c>
      <c r="F170" s="3">
        <v>102</v>
      </c>
      <c r="G170" s="3" t="s">
        <v>43</v>
      </c>
      <c r="H170" s="3">
        <v>1420</v>
      </c>
      <c r="I170" s="3">
        <v>2734</v>
      </c>
      <c r="J170" s="3">
        <v>7</v>
      </c>
      <c r="K170" s="3">
        <v>41</v>
      </c>
      <c r="L170" s="3">
        <f t="shared" si="3"/>
        <v>2693</v>
      </c>
    </row>
    <row r="171" spans="1:12" x14ac:dyDescent="0.3">
      <c r="A171" s="31">
        <v>45658</v>
      </c>
      <c r="B171" s="3">
        <v>2025</v>
      </c>
      <c r="C171" s="3">
        <v>1</v>
      </c>
      <c r="D171" s="3" t="s">
        <v>59</v>
      </c>
      <c r="E171" s="32">
        <v>45658</v>
      </c>
      <c r="F171" s="3">
        <v>201</v>
      </c>
      <c r="G171" s="3" t="s">
        <v>44</v>
      </c>
      <c r="H171" s="3">
        <v>21</v>
      </c>
      <c r="I171" s="3">
        <v>102</v>
      </c>
      <c r="J171" s="3">
        <v>5</v>
      </c>
      <c r="K171" s="3">
        <v>75</v>
      </c>
      <c r="L171" s="3">
        <f t="shared" si="3"/>
        <v>27</v>
      </c>
    </row>
    <row r="172" spans="1:12" x14ac:dyDescent="0.3">
      <c r="A172" s="31">
        <v>45658</v>
      </c>
      <c r="B172" s="3">
        <v>2025</v>
      </c>
      <c r="C172" s="3">
        <v>1</v>
      </c>
      <c r="D172" s="3" t="s">
        <v>59</v>
      </c>
      <c r="E172" s="32">
        <v>45658</v>
      </c>
      <c r="F172" s="3">
        <v>202</v>
      </c>
      <c r="G172" s="3" t="s">
        <v>45</v>
      </c>
      <c r="H172" s="3">
        <v>1402</v>
      </c>
      <c r="I172" s="3">
        <v>5301</v>
      </c>
      <c r="J172" s="3">
        <v>105</v>
      </c>
      <c r="K172" s="3">
        <v>630</v>
      </c>
      <c r="L172" s="3">
        <f t="shared" si="3"/>
        <v>4671</v>
      </c>
    </row>
    <row r="173" spans="1:12" x14ac:dyDescent="0.3">
      <c r="A173" s="31">
        <v>45658</v>
      </c>
      <c r="B173" s="3">
        <v>2025</v>
      </c>
      <c r="C173" s="3">
        <v>1</v>
      </c>
      <c r="D173" s="3" t="s">
        <v>59</v>
      </c>
      <c r="E173" s="32">
        <v>45658</v>
      </c>
      <c r="F173" s="3">
        <v>401</v>
      </c>
      <c r="G173" s="3" t="s">
        <v>7</v>
      </c>
      <c r="H173" s="3">
        <v>1725</v>
      </c>
      <c r="I173" s="3">
        <v>1344</v>
      </c>
      <c r="J173" s="3">
        <v>644</v>
      </c>
      <c r="K173" s="3">
        <v>751</v>
      </c>
      <c r="L173" s="3">
        <f t="shared" si="3"/>
        <v>593</v>
      </c>
    </row>
    <row r="174" spans="1:12" x14ac:dyDescent="0.3">
      <c r="A174" s="31">
        <v>45658</v>
      </c>
      <c r="B174" s="3">
        <v>2025</v>
      </c>
      <c r="C174" s="3">
        <v>1</v>
      </c>
      <c r="D174" s="3" t="s">
        <v>59</v>
      </c>
      <c r="E174" s="32">
        <v>45658</v>
      </c>
      <c r="F174" s="3">
        <v>402</v>
      </c>
      <c r="G174" s="3" t="s">
        <v>8</v>
      </c>
      <c r="H174" s="3">
        <v>2335</v>
      </c>
      <c r="I174" s="3">
        <v>5964</v>
      </c>
      <c r="J174" s="3">
        <v>129</v>
      </c>
      <c r="K174" s="3">
        <v>445</v>
      </c>
      <c r="L174" s="3">
        <f t="shared" si="3"/>
        <v>5519</v>
      </c>
    </row>
    <row r="175" spans="1:12" x14ac:dyDescent="0.3">
      <c r="A175" s="31">
        <v>45658</v>
      </c>
      <c r="B175" s="3">
        <v>2025</v>
      </c>
      <c r="C175" s="3">
        <v>1</v>
      </c>
      <c r="D175" s="3" t="s">
        <v>59</v>
      </c>
      <c r="E175" s="32">
        <v>45658</v>
      </c>
      <c r="F175" s="3">
        <v>403</v>
      </c>
      <c r="G175" s="3" t="s">
        <v>23</v>
      </c>
      <c r="H175" s="3">
        <v>422</v>
      </c>
      <c r="I175" s="3">
        <v>600</v>
      </c>
      <c r="J175" s="3">
        <v>855</v>
      </c>
      <c r="K175" s="3">
        <v>1658</v>
      </c>
      <c r="L175" s="3">
        <f t="shared" si="3"/>
        <v>-1058</v>
      </c>
    </row>
    <row r="176" spans="1:12" x14ac:dyDescent="0.3">
      <c r="A176" s="31">
        <v>45658</v>
      </c>
      <c r="B176" s="3">
        <v>2025</v>
      </c>
      <c r="C176" s="3">
        <v>1</v>
      </c>
      <c r="D176" s="3" t="s">
        <v>59</v>
      </c>
      <c r="E176" s="32">
        <v>45658</v>
      </c>
      <c r="F176" s="3">
        <v>404</v>
      </c>
      <c r="G176" s="3" t="s">
        <v>9</v>
      </c>
      <c r="H176" s="3">
        <v>1445</v>
      </c>
      <c r="I176" s="3">
        <v>1313</v>
      </c>
      <c r="J176" s="3">
        <v>191</v>
      </c>
      <c r="K176" s="3">
        <v>406</v>
      </c>
      <c r="L176" s="3">
        <f t="shared" si="3"/>
        <v>907</v>
      </c>
    </row>
    <row r="177" spans="1:12" x14ac:dyDescent="0.3">
      <c r="A177" s="31">
        <v>45658</v>
      </c>
      <c r="B177" s="3">
        <v>2025</v>
      </c>
      <c r="C177" s="3">
        <v>1</v>
      </c>
      <c r="D177" s="3" t="s">
        <v>59</v>
      </c>
      <c r="E177" s="32">
        <v>45658</v>
      </c>
      <c r="F177" s="3">
        <v>405</v>
      </c>
      <c r="G177" s="3" t="s">
        <v>10</v>
      </c>
      <c r="H177" s="3">
        <v>749</v>
      </c>
      <c r="I177" s="3">
        <v>5776</v>
      </c>
      <c r="J177" s="3">
        <v>135</v>
      </c>
      <c r="K177" s="3">
        <v>1315</v>
      </c>
      <c r="L177" s="3">
        <f t="shared" si="3"/>
        <v>4461</v>
      </c>
    </row>
    <row r="178" spans="1:12" x14ac:dyDescent="0.3">
      <c r="A178" s="31">
        <v>45658</v>
      </c>
      <c r="B178" s="3">
        <v>2025</v>
      </c>
      <c r="C178" s="3">
        <v>1</v>
      </c>
      <c r="D178" s="3" t="s">
        <v>59</v>
      </c>
      <c r="E178" s="32">
        <v>45658</v>
      </c>
      <c r="F178" s="3">
        <v>406</v>
      </c>
      <c r="G178" s="3" t="s">
        <v>11</v>
      </c>
      <c r="H178" s="3">
        <v>935</v>
      </c>
      <c r="I178" s="3">
        <v>4410</v>
      </c>
      <c r="J178" s="3">
        <v>3064</v>
      </c>
      <c r="K178" s="3">
        <v>18115</v>
      </c>
      <c r="L178" s="3">
        <f t="shared" si="3"/>
        <v>-13705</v>
      </c>
    </row>
    <row r="179" spans="1:12" x14ac:dyDescent="0.3">
      <c r="A179" s="31">
        <v>45658</v>
      </c>
      <c r="B179" s="3">
        <v>2025</v>
      </c>
      <c r="C179" s="3">
        <v>1</v>
      </c>
      <c r="D179" s="3" t="s">
        <v>59</v>
      </c>
      <c r="E179" s="32">
        <v>45658</v>
      </c>
      <c r="F179" s="3">
        <v>2105</v>
      </c>
      <c r="G179" s="3" t="s">
        <v>25</v>
      </c>
      <c r="H179" s="3">
        <v>490</v>
      </c>
      <c r="I179" s="3">
        <v>1791</v>
      </c>
      <c r="J179" s="3">
        <v>9</v>
      </c>
      <c r="K179" s="3">
        <v>68</v>
      </c>
      <c r="L179" s="3">
        <f t="shared" si="3"/>
        <v>1723</v>
      </c>
    </row>
    <row r="180" spans="1:12" x14ac:dyDescent="0.3">
      <c r="A180" s="31">
        <v>45658</v>
      </c>
      <c r="B180" s="3">
        <v>2025</v>
      </c>
      <c r="C180" s="3">
        <v>1</v>
      </c>
      <c r="D180" s="3" t="s">
        <v>59</v>
      </c>
      <c r="E180" s="32">
        <v>45658</v>
      </c>
      <c r="F180" s="3">
        <v>3501</v>
      </c>
      <c r="G180" s="3" t="s">
        <v>26</v>
      </c>
      <c r="H180" s="3">
        <v>0</v>
      </c>
      <c r="I180" s="3">
        <v>3484</v>
      </c>
      <c r="J180" s="3">
        <v>0</v>
      </c>
      <c r="K180" s="3">
        <v>12</v>
      </c>
      <c r="L180" s="3">
        <f t="shared" si="3"/>
        <v>3472</v>
      </c>
    </row>
    <row r="181" spans="1:12" x14ac:dyDescent="0.3">
      <c r="A181" s="31">
        <v>46023</v>
      </c>
      <c r="B181" s="3">
        <v>2026</v>
      </c>
      <c r="C181" s="3">
        <v>1</v>
      </c>
      <c r="D181" s="3" t="s">
        <v>59</v>
      </c>
      <c r="E181" s="32">
        <v>46023</v>
      </c>
      <c r="F181" s="34">
        <v>102</v>
      </c>
      <c r="G181" s="3" t="s">
        <v>43</v>
      </c>
      <c r="H181" s="3">
        <v>958</v>
      </c>
      <c r="I181" s="3">
        <v>1821</v>
      </c>
      <c r="J181" s="3">
        <v>0</v>
      </c>
      <c r="K181" s="3">
        <v>0</v>
      </c>
      <c r="L181" s="3">
        <f t="shared" si="3"/>
        <v>1821</v>
      </c>
    </row>
    <row r="182" spans="1:12" x14ac:dyDescent="0.3">
      <c r="A182" s="31">
        <v>46023</v>
      </c>
      <c r="B182" s="3">
        <v>2026</v>
      </c>
      <c r="C182" s="3">
        <v>1</v>
      </c>
      <c r="D182" s="3" t="s">
        <v>59</v>
      </c>
      <c r="E182" s="32">
        <v>46023</v>
      </c>
      <c r="F182" s="34">
        <v>201</v>
      </c>
      <c r="G182" s="3" t="s">
        <v>44</v>
      </c>
      <c r="H182" s="3">
        <v>292</v>
      </c>
      <c r="I182" s="3">
        <v>2228</v>
      </c>
      <c r="J182" s="3">
        <v>6</v>
      </c>
      <c r="K182" s="3">
        <v>155</v>
      </c>
      <c r="L182" s="3">
        <f t="shared" si="3"/>
        <v>2073</v>
      </c>
    </row>
    <row r="183" spans="1:12" x14ac:dyDescent="0.3">
      <c r="A183" s="31">
        <v>46023</v>
      </c>
      <c r="B183" s="3">
        <v>2026</v>
      </c>
      <c r="C183" s="3">
        <v>1</v>
      </c>
      <c r="D183" s="3" t="s">
        <v>59</v>
      </c>
      <c r="E183" s="32">
        <v>46023</v>
      </c>
      <c r="F183" s="34">
        <v>202</v>
      </c>
      <c r="G183" s="3" t="s">
        <v>45</v>
      </c>
      <c r="H183" s="3">
        <v>966</v>
      </c>
      <c r="I183" s="3">
        <v>4622</v>
      </c>
      <c r="J183" s="3">
        <v>81</v>
      </c>
      <c r="K183" s="3">
        <v>690</v>
      </c>
      <c r="L183" s="3">
        <f t="shared" si="3"/>
        <v>3932</v>
      </c>
    </row>
    <row r="184" spans="1:12" x14ac:dyDescent="0.3">
      <c r="A184" s="31">
        <v>46023</v>
      </c>
      <c r="B184" s="3">
        <v>2026</v>
      </c>
      <c r="C184" s="3">
        <v>1</v>
      </c>
      <c r="D184" s="3" t="s">
        <v>59</v>
      </c>
      <c r="E184" s="32">
        <v>46023</v>
      </c>
      <c r="F184" s="34">
        <v>401</v>
      </c>
      <c r="G184" s="3" t="s">
        <v>7</v>
      </c>
      <c r="H184" s="3">
        <v>1778</v>
      </c>
      <c r="I184" s="3">
        <v>1541</v>
      </c>
      <c r="J184" s="3">
        <v>282</v>
      </c>
      <c r="K184" s="3">
        <v>364</v>
      </c>
      <c r="L184" s="3">
        <f t="shared" si="3"/>
        <v>1177</v>
      </c>
    </row>
    <row r="185" spans="1:12" x14ac:dyDescent="0.3">
      <c r="A185" s="31">
        <v>46023</v>
      </c>
      <c r="B185" s="3">
        <v>2026</v>
      </c>
      <c r="C185" s="3">
        <v>1</v>
      </c>
      <c r="D185" s="3" t="s">
        <v>59</v>
      </c>
      <c r="E185" s="32">
        <v>46023</v>
      </c>
      <c r="F185" s="34">
        <v>402</v>
      </c>
      <c r="G185" s="3" t="s">
        <v>8</v>
      </c>
      <c r="H185" s="3">
        <v>2368</v>
      </c>
      <c r="I185" s="3">
        <v>5759</v>
      </c>
      <c r="J185" s="3">
        <v>77</v>
      </c>
      <c r="K185" s="3">
        <v>285</v>
      </c>
      <c r="L185" s="3">
        <f t="shared" si="3"/>
        <v>5474</v>
      </c>
    </row>
    <row r="186" spans="1:12" x14ac:dyDescent="0.3">
      <c r="A186" s="31">
        <v>46023</v>
      </c>
      <c r="B186" s="3">
        <v>2026</v>
      </c>
      <c r="C186" s="3">
        <v>1</v>
      </c>
      <c r="D186" s="3" t="s">
        <v>59</v>
      </c>
      <c r="E186" s="32">
        <v>46023</v>
      </c>
      <c r="F186" s="34">
        <v>403</v>
      </c>
      <c r="G186" s="3" t="s">
        <v>23</v>
      </c>
      <c r="H186" s="3">
        <v>514</v>
      </c>
      <c r="I186" s="3">
        <v>789</v>
      </c>
      <c r="J186" s="3">
        <v>759</v>
      </c>
      <c r="K186" s="3">
        <v>1768</v>
      </c>
      <c r="L186" s="3">
        <f t="shared" si="3"/>
        <v>-979</v>
      </c>
    </row>
    <row r="187" spans="1:12" x14ac:dyDescent="0.3">
      <c r="A187" s="31">
        <v>46023</v>
      </c>
      <c r="B187" s="3">
        <v>2026</v>
      </c>
      <c r="C187" s="3">
        <v>1</v>
      </c>
      <c r="D187" s="3" t="s">
        <v>59</v>
      </c>
      <c r="E187" s="32">
        <v>46023</v>
      </c>
      <c r="F187" s="34">
        <v>404</v>
      </c>
      <c r="G187" s="3" t="s">
        <v>9</v>
      </c>
      <c r="H187" s="3">
        <v>1155</v>
      </c>
      <c r="I187" s="3">
        <v>1276</v>
      </c>
      <c r="J187" s="3">
        <v>604</v>
      </c>
      <c r="K187" s="3">
        <v>1407</v>
      </c>
      <c r="L187" s="3">
        <f t="shared" si="3"/>
        <v>-131</v>
      </c>
    </row>
    <row r="188" spans="1:12" x14ac:dyDescent="0.3">
      <c r="A188" s="31">
        <v>46023</v>
      </c>
      <c r="B188" s="3">
        <v>2026</v>
      </c>
      <c r="C188" s="3">
        <v>1</v>
      </c>
      <c r="D188" s="3" t="s">
        <v>59</v>
      </c>
      <c r="E188" s="32">
        <v>46023</v>
      </c>
      <c r="F188" s="34">
        <v>405</v>
      </c>
      <c r="G188" s="3" t="s">
        <v>10</v>
      </c>
      <c r="H188" s="3">
        <v>644</v>
      </c>
      <c r="I188" s="3">
        <v>3959</v>
      </c>
      <c r="J188" s="3">
        <v>155</v>
      </c>
      <c r="K188" s="3">
        <v>1019</v>
      </c>
      <c r="L188" s="3">
        <f t="shared" si="3"/>
        <v>2940</v>
      </c>
    </row>
    <row r="189" spans="1:12" x14ac:dyDescent="0.3">
      <c r="A189" s="31">
        <v>46023</v>
      </c>
      <c r="B189" s="3">
        <v>2026</v>
      </c>
      <c r="C189" s="3">
        <v>1</v>
      </c>
      <c r="D189" s="3" t="s">
        <v>59</v>
      </c>
      <c r="E189" s="32">
        <v>46023</v>
      </c>
      <c r="F189" s="34">
        <v>406</v>
      </c>
      <c r="G189" s="3" t="s">
        <v>11</v>
      </c>
      <c r="H189" s="3">
        <v>1088</v>
      </c>
      <c r="I189" s="3">
        <v>4885</v>
      </c>
      <c r="J189" s="3">
        <v>2815</v>
      </c>
      <c r="K189" s="3">
        <v>17564</v>
      </c>
      <c r="L189" s="3">
        <f t="shared" si="3"/>
        <v>-12679</v>
      </c>
    </row>
    <row r="190" spans="1:12" x14ac:dyDescent="0.3">
      <c r="A190" s="31">
        <v>46023</v>
      </c>
      <c r="B190" s="3">
        <v>2026</v>
      </c>
      <c r="C190" s="3">
        <v>1</v>
      </c>
      <c r="D190" s="3" t="s">
        <v>59</v>
      </c>
      <c r="E190" s="32">
        <v>46023</v>
      </c>
      <c r="F190" s="34">
        <v>2105</v>
      </c>
      <c r="G190" s="3" t="s">
        <v>25</v>
      </c>
      <c r="H190" s="3">
        <v>335</v>
      </c>
      <c r="I190" s="3">
        <v>1366</v>
      </c>
      <c r="J190" s="3">
        <v>4</v>
      </c>
      <c r="K190" s="3">
        <v>52</v>
      </c>
      <c r="L190" s="3">
        <f t="shared" si="3"/>
        <v>1314</v>
      </c>
    </row>
    <row r="191" spans="1:12" x14ac:dyDescent="0.3">
      <c r="A191" s="31">
        <v>46023</v>
      </c>
      <c r="B191" s="3">
        <v>2026</v>
      </c>
      <c r="C191" s="3">
        <v>1</v>
      </c>
      <c r="D191" s="3" t="s">
        <v>59</v>
      </c>
      <c r="E191" s="32">
        <v>46023</v>
      </c>
      <c r="F191" s="34">
        <v>3501</v>
      </c>
      <c r="G191" s="3" t="s">
        <v>26</v>
      </c>
      <c r="H191" s="3">
        <v>308</v>
      </c>
      <c r="I191" s="3">
        <v>1924</v>
      </c>
      <c r="J191" s="3">
        <v>7</v>
      </c>
      <c r="K191" s="3">
        <v>44</v>
      </c>
      <c r="L191" s="3">
        <f t="shared" si="3"/>
        <v>1880</v>
      </c>
    </row>
    <row r="192" spans="1:12" x14ac:dyDescent="0.3">
      <c r="A192" s="31">
        <v>46054</v>
      </c>
      <c r="B192" s="3">
        <v>2026</v>
      </c>
      <c r="C192" s="3">
        <v>2</v>
      </c>
      <c r="D192" s="3" t="s">
        <v>58</v>
      </c>
      <c r="E192" s="32">
        <v>46054</v>
      </c>
      <c r="F192" s="34">
        <v>102</v>
      </c>
      <c r="G192" s="3" t="s">
        <v>43</v>
      </c>
      <c r="H192" s="3">
        <v>1776.1</v>
      </c>
      <c r="I192" s="3">
        <v>4532.8</v>
      </c>
      <c r="J192" s="3">
        <v>0</v>
      </c>
      <c r="K192" s="3">
        <v>0</v>
      </c>
      <c r="L192" s="3">
        <f>I192-K192</f>
        <v>4532.8</v>
      </c>
    </row>
    <row r="193" spans="1:12" x14ac:dyDescent="0.3">
      <c r="A193" s="31">
        <v>46054</v>
      </c>
      <c r="B193" s="3">
        <v>2026</v>
      </c>
      <c r="C193" s="3">
        <v>2</v>
      </c>
      <c r="D193" s="3" t="s">
        <v>58</v>
      </c>
      <c r="E193" s="32">
        <v>46054</v>
      </c>
      <c r="F193" s="34">
        <v>201</v>
      </c>
      <c r="G193" s="3" t="s">
        <v>44</v>
      </c>
      <c r="H193" s="3">
        <v>230.8</v>
      </c>
      <c r="I193" s="3">
        <v>1690.9</v>
      </c>
      <c r="J193" s="3">
        <v>13.7</v>
      </c>
      <c r="K193" s="3">
        <v>388.9</v>
      </c>
      <c r="L193" s="3">
        <f>I193-K193</f>
        <v>1302</v>
      </c>
    </row>
    <row r="194" spans="1:12" x14ac:dyDescent="0.3">
      <c r="A194" s="31">
        <v>46054</v>
      </c>
      <c r="B194" s="3">
        <v>2026</v>
      </c>
      <c r="C194" s="3">
        <v>2</v>
      </c>
      <c r="D194" s="3" t="s">
        <v>58</v>
      </c>
      <c r="E194" s="32">
        <v>46054</v>
      </c>
      <c r="F194" s="34">
        <v>202</v>
      </c>
      <c r="G194" s="3" t="s">
        <v>45</v>
      </c>
      <c r="H194" s="3">
        <v>1274</v>
      </c>
      <c r="I194" s="3">
        <v>5805.6</v>
      </c>
      <c r="J194" s="3">
        <v>69.5</v>
      </c>
      <c r="K194" s="3">
        <v>426.5</v>
      </c>
      <c r="L194" s="3">
        <f t="shared" ref="L194:L258" si="4">I194-K194</f>
        <v>5379.1</v>
      </c>
    </row>
    <row r="195" spans="1:12" x14ac:dyDescent="0.3">
      <c r="A195" s="31">
        <v>46054</v>
      </c>
      <c r="B195" s="3">
        <v>2026</v>
      </c>
      <c r="C195" s="3">
        <v>2</v>
      </c>
      <c r="D195" s="3" t="s">
        <v>58</v>
      </c>
      <c r="E195" s="32">
        <v>46054</v>
      </c>
      <c r="F195" s="34">
        <v>401</v>
      </c>
      <c r="G195" s="3" t="s">
        <v>7</v>
      </c>
      <c r="H195" s="3">
        <v>2230.5</v>
      </c>
      <c r="I195" s="3">
        <v>1770.3</v>
      </c>
      <c r="J195" s="3">
        <v>255.1</v>
      </c>
      <c r="K195" s="3">
        <v>395.2</v>
      </c>
      <c r="L195" s="3">
        <f t="shared" si="4"/>
        <v>1375.1</v>
      </c>
    </row>
    <row r="196" spans="1:12" x14ac:dyDescent="0.3">
      <c r="A196" s="31">
        <v>46054</v>
      </c>
      <c r="B196" s="3">
        <v>2026</v>
      </c>
      <c r="C196" s="3">
        <v>2</v>
      </c>
      <c r="D196" s="3" t="s">
        <v>58</v>
      </c>
      <c r="E196" s="32">
        <v>46054</v>
      </c>
      <c r="F196" s="34">
        <v>402</v>
      </c>
      <c r="G196" s="3" t="s">
        <v>8</v>
      </c>
      <c r="H196" s="3">
        <v>3012.3</v>
      </c>
      <c r="I196" s="3">
        <v>7249.5</v>
      </c>
      <c r="J196" s="3">
        <v>155.9</v>
      </c>
      <c r="K196" s="3">
        <v>575.20000000000005</v>
      </c>
      <c r="L196" s="3">
        <f t="shared" si="4"/>
        <v>6674.3</v>
      </c>
    </row>
    <row r="197" spans="1:12" x14ac:dyDescent="0.3">
      <c r="A197" s="31">
        <v>46054</v>
      </c>
      <c r="B197" s="3">
        <v>2026</v>
      </c>
      <c r="C197" s="3">
        <v>2</v>
      </c>
      <c r="D197" s="3" t="s">
        <v>58</v>
      </c>
      <c r="E197" s="32">
        <v>46054</v>
      </c>
      <c r="F197" s="34">
        <v>403</v>
      </c>
      <c r="G197" s="3" t="s">
        <v>23</v>
      </c>
      <c r="H197" s="3">
        <v>500.1</v>
      </c>
      <c r="I197" s="3">
        <v>755.8</v>
      </c>
      <c r="J197" s="3">
        <v>801.3</v>
      </c>
      <c r="K197" s="3">
        <v>1911.2</v>
      </c>
      <c r="L197" s="3">
        <f t="shared" si="4"/>
        <v>-1155.4000000000001</v>
      </c>
    </row>
    <row r="198" spans="1:12" x14ac:dyDescent="0.3">
      <c r="A198" s="31">
        <v>46054</v>
      </c>
      <c r="B198" s="3">
        <v>2026</v>
      </c>
      <c r="C198" s="3">
        <v>2</v>
      </c>
      <c r="D198" s="3" t="s">
        <v>58</v>
      </c>
      <c r="E198" s="32">
        <v>46054</v>
      </c>
      <c r="F198" s="34">
        <v>404</v>
      </c>
      <c r="G198" s="3" t="s">
        <v>9</v>
      </c>
      <c r="H198" s="3">
        <v>1383.7</v>
      </c>
      <c r="I198" s="3">
        <v>1544</v>
      </c>
      <c r="J198" s="3">
        <v>392.3</v>
      </c>
      <c r="K198" s="3">
        <v>609.20000000000005</v>
      </c>
      <c r="L198" s="3">
        <f t="shared" si="4"/>
        <v>934.8</v>
      </c>
    </row>
    <row r="199" spans="1:12" x14ac:dyDescent="0.3">
      <c r="A199" s="31">
        <v>46054</v>
      </c>
      <c r="B199" s="3">
        <v>2026</v>
      </c>
      <c r="C199" s="3">
        <v>2</v>
      </c>
      <c r="D199" s="3" t="s">
        <v>58</v>
      </c>
      <c r="E199" s="32">
        <v>46054</v>
      </c>
      <c r="F199" s="34">
        <v>405</v>
      </c>
      <c r="G199" s="3" t="s">
        <v>10</v>
      </c>
      <c r="H199" s="3">
        <v>937.6</v>
      </c>
      <c r="I199" s="3">
        <v>5420.4</v>
      </c>
      <c r="J199" s="3">
        <v>251</v>
      </c>
      <c r="K199" s="3">
        <v>1823.8</v>
      </c>
      <c r="L199" s="3">
        <f t="shared" si="4"/>
        <v>3596.5999999999995</v>
      </c>
    </row>
    <row r="200" spans="1:12" x14ac:dyDescent="0.3">
      <c r="A200" s="31">
        <v>46054</v>
      </c>
      <c r="B200" s="3">
        <v>2026</v>
      </c>
      <c r="C200" s="3">
        <v>2</v>
      </c>
      <c r="D200" s="3" t="s">
        <v>58</v>
      </c>
      <c r="E200" s="32">
        <v>46054</v>
      </c>
      <c r="F200" s="34">
        <v>406</v>
      </c>
      <c r="G200" s="3" t="s">
        <v>11</v>
      </c>
      <c r="H200" s="3">
        <v>1164.8</v>
      </c>
      <c r="I200" s="3">
        <v>5118.7</v>
      </c>
      <c r="J200" s="3">
        <v>3558.6</v>
      </c>
      <c r="K200" s="3">
        <v>22370.9</v>
      </c>
      <c r="L200" s="3">
        <f t="shared" si="4"/>
        <v>-17252.2</v>
      </c>
    </row>
    <row r="201" spans="1:12" x14ac:dyDescent="0.3">
      <c r="A201" s="31">
        <v>46054</v>
      </c>
      <c r="B201" s="3">
        <v>2026</v>
      </c>
      <c r="C201" s="3">
        <v>2</v>
      </c>
      <c r="D201" s="3" t="s">
        <v>58</v>
      </c>
      <c r="E201" s="32">
        <v>46054</v>
      </c>
      <c r="F201" s="34">
        <v>2105</v>
      </c>
      <c r="G201" s="3" t="s">
        <v>25</v>
      </c>
      <c r="H201" s="3">
        <v>701.6</v>
      </c>
      <c r="I201" s="3">
        <v>2715</v>
      </c>
      <c r="J201" s="3">
        <v>9.6999999999999993</v>
      </c>
      <c r="K201" s="3">
        <v>84</v>
      </c>
      <c r="L201" s="3">
        <f t="shared" si="4"/>
        <v>2631</v>
      </c>
    </row>
    <row r="202" spans="1:12" x14ac:dyDescent="0.3">
      <c r="A202" s="31">
        <v>46054</v>
      </c>
      <c r="B202" s="3">
        <v>2026</v>
      </c>
      <c r="C202" s="3">
        <v>2</v>
      </c>
      <c r="D202" s="3" t="s">
        <v>58</v>
      </c>
      <c r="E202" s="32">
        <v>46054</v>
      </c>
      <c r="F202" s="34">
        <v>3501</v>
      </c>
      <c r="G202" s="3" t="s">
        <v>26</v>
      </c>
      <c r="H202" s="3">
        <v>0</v>
      </c>
      <c r="I202" s="3">
        <v>0</v>
      </c>
      <c r="J202" s="3">
        <v>0</v>
      </c>
      <c r="K202" s="3">
        <v>0</v>
      </c>
      <c r="L202" s="3">
        <f t="shared" si="4"/>
        <v>0</v>
      </c>
    </row>
    <row r="203" spans="1:12" x14ac:dyDescent="0.3">
      <c r="A203" s="31">
        <v>45689</v>
      </c>
      <c r="B203" s="3">
        <v>2025</v>
      </c>
      <c r="C203" s="3">
        <v>2</v>
      </c>
      <c r="D203" s="3" t="s">
        <v>58</v>
      </c>
      <c r="E203" s="32">
        <v>45689</v>
      </c>
      <c r="F203" s="34">
        <v>102</v>
      </c>
      <c r="G203" s="3" t="s">
        <v>43</v>
      </c>
      <c r="H203" s="3">
        <v>1305.2</v>
      </c>
      <c r="I203" s="3">
        <v>2819.4</v>
      </c>
      <c r="J203" s="3">
        <v>0</v>
      </c>
      <c r="K203" s="3">
        <v>0</v>
      </c>
      <c r="L203" s="3">
        <f t="shared" si="4"/>
        <v>2819.4</v>
      </c>
    </row>
    <row r="204" spans="1:12" x14ac:dyDescent="0.3">
      <c r="A204" s="31">
        <v>45689</v>
      </c>
      <c r="B204" s="3">
        <v>2025</v>
      </c>
      <c r="C204" s="3">
        <v>2</v>
      </c>
      <c r="D204" s="3" t="s">
        <v>58</v>
      </c>
      <c r="E204" s="32">
        <v>45689</v>
      </c>
      <c r="F204" s="34">
        <v>201</v>
      </c>
      <c r="G204" s="3" t="s">
        <v>44</v>
      </c>
      <c r="H204" s="3">
        <v>0.6</v>
      </c>
      <c r="I204" s="3">
        <v>8.1999999999999993</v>
      </c>
      <c r="J204" s="3">
        <v>13.3</v>
      </c>
      <c r="K204" s="3">
        <v>290.60000000000002</v>
      </c>
      <c r="L204" s="3">
        <f t="shared" si="4"/>
        <v>-282.40000000000003</v>
      </c>
    </row>
    <row r="205" spans="1:12" x14ac:dyDescent="0.3">
      <c r="A205" s="31">
        <v>45689</v>
      </c>
      <c r="B205" s="3">
        <v>2025</v>
      </c>
      <c r="C205" s="3">
        <v>2</v>
      </c>
      <c r="D205" s="3" t="s">
        <v>58</v>
      </c>
      <c r="E205" s="32">
        <v>45689</v>
      </c>
      <c r="F205" s="34">
        <v>202</v>
      </c>
      <c r="G205" s="3" t="s">
        <v>45</v>
      </c>
      <c r="H205" s="3">
        <v>1322.5</v>
      </c>
      <c r="I205" s="3">
        <v>4819.8</v>
      </c>
      <c r="J205" s="3">
        <v>87.9</v>
      </c>
      <c r="K205" s="3">
        <v>562.5</v>
      </c>
      <c r="L205" s="3">
        <f t="shared" si="4"/>
        <v>4257.3</v>
      </c>
    </row>
    <row r="206" spans="1:12" x14ac:dyDescent="0.3">
      <c r="A206" s="31">
        <v>45689</v>
      </c>
      <c r="B206" s="3">
        <v>2025</v>
      </c>
      <c r="C206" s="3">
        <v>2</v>
      </c>
      <c r="D206" s="3" t="s">
        <v>58</v>
      </c>
      <c r="E206" s="32">
        <v>45689</v>
      </c>
      <c r="F206" s="34">
        <v>401</v>
      </c>
      <c r="G206" s="3" t="s">
        <v>7</v>
      </c>
      <c r="H206" s="3">
        <v>2091</v>
      </c>
      <c r="I206" s="3">
        <v>1536.9</v>
      </c>
      <c r="J206" s="3">
        <v>246.7</v>
      </c>
      <c r="K206" s="3">
        <v>279</v>
      </c>
      <c r="L206" s="3">
        <f t="shared" si="4"/>
        <v>1257.9000000000001</v>
      </c>
    </row>
    <row r="207" spans="1:12" x14ac:dyDescent="0.3">
      <c r="A207" s="31">
        <v>45689</v>
      </c>
      <c r="B207" s="3">
        <v>2025</v>
      </c>
      <c r="C207" s="3">
        <v>2</v>
      </c>
      <c r="D207" s="3" t="s">
        <v>58</v>
      </c>
      <c r="E207" s="32">
        <v>45689</v>
      </c>
      <c r="F207" s="34">
        <v>402</v>
      </c>
      <c r="G207" s="3" t="s">
        <v>8</v>
      </c>
      <c r="H207" s="3">
        <v>3245.3</v>
      </c>
      <c r="I207" s="3">
        <v>8524.9</v>
      </c>
      <c r="J207" s="3">
        <v>198.2</v>
      </c>
      <c r="K207" s="3">
        <v>797.2</v>
      </c>
      <c r="L207" s="3">
        <f t="shared" si="4"/>
        <v>7727.7</v>
      </c>
    </row>
    <row r="208" spans="1:12" x14ac:dyDescent="0.3">
      <c r="A208" s="31">
        <v>45689</v>
      </c>
      <c r="B208" s="3">
        <v>2025</v>
      </c>
      <c r="C208" s="3">
        <v>2</v>
      </c>
      <c r="D208" s="3" t="s">
        <v>58</v>
      </c>
      <c r="E208" s="32">
        <v>45689</v>
      </c>
      <c r="F208" s="34">
        <v>403</v>
      </c>
      <c r="G208" s="3" t="s">
        <v>23</v>
      </c>
      <c r="H208" s="3">
        <v>427.4</v>
      </c>
      <c r="I208" s="3">
        <v>575.4</v>
      </c>
      <c r="J208" s="3">
        <v>733.4</v>
      </c>
      <c r="K208" s="3">
        <v>1426.4</v>
      </c>
      <c r="L208" s="3">
        <f t="shared" si="4"/>
        <v>-851.00000000000011</v>
      </c>
    </row>
    <row r="209" spans="1:12" x14ac:dyDescent="0.3">
      <c r="A209" s="31">
        <v>45689</v>
      </c>
      <c r="B209" s="3">
        <v>2025</v>
      </c>
      <c r="C209" s="3">
        <v>2</v>
      </c>
      <c r="D209" s="3" t="s">
        <v>58</v>
      </c>
      <c r="E209" s="32">
        <v>45689</v>
      </c>
      <c r="F209" s="34">
        <v>404</v>
      </c>
      <c r="G209" s="3" t="s">
        <v>9</v>
      </c>
      <c r="H209" s="3">
        <v>1505.6</v>
      </c>
      <c r="I209" s="3">
        <v>1376</v>
      </c>
      <c r="J209" s="3">
        <v>323.3</v>
      </c>
      <c r="K209" s="3">
        <v>532.79999999999995</v>
      </c>
      <c r="L209" s="3">
        <f t="shared" si="4"/>
        <v>843.2</v>
      </c>
    </row>
    <row r="210" spans="1:12" x14ac:dyDescent="0.3">
      <c r="A210" s="31">
        <v>45689</v>
      </c>
      <c r="B210" s="3">
        <v>2025</v>
      </c>
      <c r="C210" s="3">
        <v>2</v>
      </c>
      <c r="D210" s="3" t="s">
        <v>58</v>
      </c>
      <c r="E210" s="32">
        <v>45689</v>
      </c>
      <c r="F210" s="34">
        <v>405</v>
      </c>
      <c r="G210" s="3" t="s">
        <v>10</v>
      </c>
      <c r="H210" s="3">
        <v>1001.2</v>
      </c>
      <c r="I210" s="3">
        <v>7205.7</v>
      </c>
      <c r="J210" s="3">
        <v>47.5</v>
      </c>
      <c r="K210" s="3">
        <v>505.2</v>
      </c>
      <c r="L210" s="3">
        <f t="shared" si="4"/>
        <v>6700.5</v>
      </c>
    </row>
    <row r="211" spans="1:12" x14ac:dyDescent="0.3">
      <c r="A211" s="31">
        <v>45689</v>
      </c>
      <c r="B211" s="3">
        <v>2025</v>
      </c>
      <c r="C211" s="3">
        <v>2</v>
      </c>
      <c r="D211" s="3" t="s">
        <v>58</v>
      </c>
      <c r="E211" s="32">
        <v>45689</v>
      </c>
      <c r="F211" s="34">
        <v>406</v>
      </c>
      <c r="G211" s="3" t="s">
        <v>11</v>
      </c>
      <c r="H211" s="3">
        <v>1075.5</v>
      </c>
      <c r="I211" s="3">
        <v>4947.7</v>
      </c>
      <c r="J211" s="3">
        <v>2997</v>
      </c>
      <c r="K211" s="3">
        <v>17844.099999999999</v>
      </c>
      <c r="L211" s="3">
        <f t="shared" si="4"/>
        <v>-12896.399999999998</v>
      </c>
    </row>
    <row r="212" spans="1:12" x14ac:dyDescent="0.3">
      <c r="A212" s="31">
        <v>45689</v>
      </c>
      <c r="B212" s="3">
        <v>2025</v>
      </c>
      <c r="C212" s="3">
        <v>2</v>
      </c>
      <c r="D212" s="3" t="s">
        <v>58</v>
      </c>
      <c r="E212" s="32">
        <v>45689</v>
      </c>
      <c r="F212" s="34">
        <v>2105</v>
      </c>
      <c r="G212" s="3" t="s">
        <v>25</v>
      </c>
      <c r="H212" s="3">
        <v>868.6</v>
      </c>
      <c r="I212" s="3">
        <v>3025.3</v>
      </c>
      <c r="J212" s="3">
        <v>61.5</v>
      </c>
      <c r="K212" s="3">
        <v>472.5</v>
      </c>
      <c r="L212" s="3">
        <f t="shared" si="4"/>
        <v>2552.8000000000002</v>
      </c>
    </row>
    <row r="213" spans="1:12" x14ac:dyDescent="0.3">
      <c r="A213" s="31">
        <v>45689</v>
      </c>
      <c r="B213" s="3">
        <v>2025</v>
      </c>
      <c r="C213" s="3">
        <v>2</v>
      </c>
      <c r="D213" s="3" t="s">
        <v>58</v>
      </c>
      <c r="E213" s="32">
        <v>45689</v>
      </c>
      <c r="F213" s="34">
        <v>3501</v>
      </c>
      <c r="G213" s="3" t="s">
        <v>26</v>
      </c>
      <c r="H213" s="3">
        <v>0</v>
      </c>
      <c r="I213" s="3">
        <v>0</v>
      </c>
      <c r="J213" s="3">
        <v>0</v>
      </c>
      <c r="K213" s="3">
        <v>0</v>
      </c>
      <c r="L213" s="3">
        <f t="shared" si="4"/>
        <v>0</v>
      </c>
    </row>
    <row r="214" spans="1:12" x14ac:dyDescent="0.3">
      <c r="A214" s="31">
        <v>46082</v>
      </c>
      <c r="B214" s="3">
        <v>2026</v>
      </c>
      <c r="C214" s="3">
        <v>3</v>
      </c>
      <c r="D214" s="3" t="s">
        <v>57</v>
      </c>
      <c r="E214" s="32">
        <v>46082</v>
      </c>
      <c r="F214" s="34">
        <v>102</v>
      </c>
      <c r="G214" s="3" t="s">
        <v>43</v>
      </c>
      <c r="H214" s="3">
        <v>2797.9</v>
      </c>
      <c r="I214" s="3">
        <v>5264.2</v>
      </c>
      <c r="J214" s="3">
        <v>0</v>
      </c>
      <c r="K214" s="3">
        <v>0</v>
      </c>
      <c r="L214" s="3">
        <f t="shared" si="4"/>
        <v>5264.2</v>
      </c>
    </row>
    <row r="215" spans="1:12" x14ac:dyDescent="0.3">
      <c r="A215" s="31">
        <v>46082</v>
      </c>
      <c r="B215" s="3">
        <v>2026</v>
      </c>
      <c r="C215" s="3">
        <v>3</v>
      </c>
      <c r="D215" s="3" t="s">
        <v>57</v>
      </c>
      <c r="E215" s="32">
        <v>46082</v>
      </c>
      <c r="F215" s="34">
        <v>201</v>
      </c>
      <c r="G215" s="3" t="s">
        <v>44</v>
      </c>
      <c r="H215" s="3">
        <v>467.20000000000005</v>
      </c>
      <c r="I215" s="3">
        <v>3692.1</v>
      </c>
      <c r="J215" s="3">
        <v>19.3</v>
      </c>
      <c r="K215" s="3">
        <v>486.1</v>
      </c>
      <c r="L215" s="3">
        <f t="shared" si="4"/>
        <v>3206</v>
      </c>
    </row>
    <row r="216" spans="1:12" x14ac:dyDescent="0.3">
      <c r="A216" s="31">
        <v>46082</v>
      </c>
      <c r="B216" s="3">
        <v>2026</v>
      </c>
      <c r="C216" s="3">
        <v>3</v>
      </c>
      <c r="D216" s="3" t="s">
        <v>57</v>
      </c>
      <c r="E216" s="32">
        <v>46082</v>
      </c>
      <c r="F216" s="34">
        <v>202</v>
      </c>
      <c r="G216" s="3" t="s">
        <v>45</v>
      </c>
      <c r="H216" s="3">
        <v>1672</v>
      </c>
      <c r="I216" s="3">
        <v>7376.4</v>
      </c>
      <c r="J216" s="3">
        <v>83.5</v>
      </c>
      <c r="K216" s="3">
        <v>628.5</v>
      </c>
      <c r="L216" s="3">
        <f t="shared" si="4"/>
        <v>6747.9</v>
      </c>
    </row>
    <row r="217" spans="1:12" x14ac:dyDescent="0.3">
      <c r="A217" s="31">
        <v>46082</v>
      </c>
      <c r="B217" s="3">
        <v>2026</v>
      </c>
      <c r="C217" s="3">
        <v>3</v>
      </c>
      <c r="D217" s="3" t="s">
        <v>57</v>
      </c>
      <c r="E217" s="32">
        <v>46082</v>
      </c>
      <c r="F217" s="34">
        <v>401</v>
      </c>
      <c r="G217" s="3" t="s">
        <v>7</v>
      </c>
      <c r="H217" s="3">
        <v>2017.5</v>
      </c>
      <c r="I217" s="3">
        <v>1718.6999999999998</v>
      </c>
      <c r="J217" s="3">
        <v>356.9</v>
      </c>
      <c r="K217" s="3">
        <v>717.8</v>
      </c>
      <c r="L217" s="3">
        <f t="shared" si="4"/>
        <v>1000.8999999999999</v>
      </c>
    </row>
    <row r="218" spans="1:12" x14ac:dyDescent="0.3">
      <c r="A218" s="31">
        <v>46082</v>
      </c>
      <c r="B218" s="3">
        <v>2026</v>
      </c>
      <c r="C218" s="3">
        <v>3</v>
      </c>
      <c r="D218" s="3" t="s">
        <v>57</v>
      </c>
      <c r="E218" s="32">
        <v>46082</v>
      </c>
      <c r="F218" s="34">
        <v>402</v>
      </c>
      <c r="G218" s="3" t="s">
        <v>8</v>
      </c>
      <c r="H218" s="3">
        <v>3603.7</v>
      </c>
      <c r="I218" s="3">
        <v>8925.5</v>
      </c>
      <c r="J218" s="3">
        <v>138.1</v>
      </c>
      <c r="K218" s="3">
        <v>434.79999999999995</v>
      </c>
      <c r="L218" s="3">
        <f t="shared" si="4"/>
        <v>8490.7000000000007</v>
      </c>
    </row>
    <row r="219" spans="1:12" x14ac:dyDescent="0.3">
      <c r="A219" s="31">
        <v>46082</v>
      </c>
      <c r="B219" s="3">
        <v>2026</v>
      </c>
      <c r="C219" s="3">
        <v>3</v>
      </c>
      <c r="D219" s="3" t="s">
        <v>57</v>
      </c>
      <c r="E219" s="32">
        <v>46082</v>
      </c>
      <c r="F219" s="34">
        <v>403</v>
      </c>
      <c r="G219" s="3" t="s">
        <v>23</v>
      </c>
      <c r="H219" s="3">
        <v>611.9</v>
      </c>
      <c r="I219" s="3">
        <v>920.2</v>
      </c>
      <c r="J219" s="3">
        <v>826.7</v>
      </c>
      <c r="K219" s="3">
        <v>1940.8000000000002</v>
      </c>
      <c r="L219" s="3">
        <f t="shared" si="4"/>
        <v>-1020.6000000000001</v>
      </c>
    </row>
    <row r="220" spans="1:12" x14ac:dyDescent="0.3">
      <c r="A220" s="31">
        <v>46082</v>
      </c>
      <c r="B220" s="3">
        <v>2026</v>
      </c>
      <c r="C220" s="3">
        <v>3</v>
      </c>
      <c r="D220" s="3" t="s">
        <v>57</v>
      </c>
      <c r="E220" s="32">
        <v>46082</v>
      </c>
      <c r="F220" s="34">
        <v>404</v>
      </c>
      <c r="G220" s="3" t="s">
        <v>9</v>
      </c>
      <c r="H220" s="3">
        <v>1716.3000000000002</v>
      </c>
      <c r="I220" s="3">
        <v>2022</v>
      </c>
      <c r="J220" s="3">
        <v>856.7</v>
      </c>
      <c r="K220" s="3">
        <v>1812.8</v>
      </c>
      <c r="L220" s="3">
        <f t="shared" si="4"/>
        <v>209.20000000000005</v>
      </c>
    </row>
    <row r="221" spans="1:12" x14ac:dyDescent="0.3">
      <c r="A221" s="31">
        <v>46082</v>
      </c>
      <c r="B221" s="3">
        <v>2026</v>
      </c>
      <c r="C221" s="3">
        <v>3</v>
      </c>
      <c r="D221" s="3" t="s">
        <v>57</v>
      </c>
      <c r="E221" s="32">
        <v>46082</v>
      </c>
      <c r="F221" s="34">
        <v>405</v>
      </c>
      <c r="G221" s="3" t="s">
        <v>10</v>
      </c>
      <c r="H221" s="3">
        <v>980.40000000000009</v>
      </c>
      <c r="I221" s="3">
        <v>5430.6</v>
      </c>
      <c r="J221" s="3">
        <v>305</v>
      </c>
      <c r="K221" s="3">
        <v>1855.1999999999998</v>
      </c>
      <c r="L221" s="3">
        <f t="shared" si="4"/>
        <v>3575.4000000000005</v>
      </c>
    </row>
    <row r="222" spans="1:12" x14ac:dyDescent="0.3">
      <c r="A222" s="31">
        <v>46082</v>
      </c>
      <c r="B222" s="3">
        <v>2026</v>
      </c>
      <c r="C222" s="3">
        <v>3</v>
      </c>
      <c r="D222" s="3" t="s">
        <v>57</v>
      </c>
      <c r="E222" s="32">
        <v>46082</v>
      </c>
      <c r="F222" s="34">
        <v>406</v>
      </c>
      <c r="G222" s="3" t="s">
        <v>11</v>
      </c>
      <c r="H222" s="3">
        <v>1322.1999999999998</v>
      </c>
      <c r="I222" s="3">
        <v>6150.2999999999993</v>
      </c>
      <c r="J222" s="3">
        <v>4241.3999999999996</v>
      </c>
      <c r="K222" s="3">
        <v>25770.1</v>
      </c>
      <c r="L222" s="3">
        <f t="shared" si="4"/>
        <v>-19619.8</v>
      </c>
    </row>
    <row r="223" spans="1:12" x14ac:dyDescent="0.3">
      <c r="A223" s="31">
        <v>46082</v>
      </c>
      <c r="B223" s="3">
        <v>2026</v>
      </c>
      <c r="C223" s="3">
        <v>3</v>
      </c>
      <c r="D223" s="3" t="s">
        <v>57</v>
      </c>
      <c r="E223" s="32">
        <v>46082</v>
      </c>
      <c r="F223" s="34">
        <v>2105</v>
      </c>
      <c r="G223" s="3" t="s">
        <v>25</v>
      </c>
      <c r="H223" s="3">
        <v>1374.4</v>
      </c>
      <c r="I223" s="3">
        <v>4913</v>
      </c>
      <c r="J223" s="3">
        <v>74.3</v>
      </c>
      <c r="K223" s="3">
        <v>215</v>
      </c>
      <c r="L223" s="3">
        <f t="shared" si="4"/>
        <v>4698</v>
      </c>
    </row>
    <row r="224" spans="1:12" x14ac:dyDescent="0.3">
      <c r="A224" s="31">
        <v>46082</v>
      </c>
      <c r="B224" s="3">
        <v>2026</v>
      </c>
      <c r="C224" s="3">
        <v>3</v>
      </c>
      <c r="D224" s="3" t="s">
        <v>57</v>
      </c>
      <c r="E224" s="32">
        <v>46082</v>
      </c>
      <c r="F224" s="34">
        <v>3501</v>
      </c>
      <c r="G224" s="3" t="s">
        <v>26</v>
      </c>
      <c r="H224" s="3">
        <v>810</v>
      </c>
      <c r="I224" s="3">
        <v>5306</v>
      </c>
      <c r="J224" s="3">
        <v>24</v>
      </c>
      <c r="K224" s="3">
        <v>161</v>
      </c>
      <c r="L224" s="3">
        <f t="shared" si="4"/>
        <v>5145</v>
      </c>
    </row>
    <row r="225" spans="1:12" x14ac:dyDescent="0.3">
      <c r="A225" s="31">
        <v>46113</v>
      </c>
      <c r="B225" s="3">
        <v>2026</v>
      </c>
      <c r="C225" s="3">
        <v>4</v>
      </c>
      <c r="D225" s="3" t="s">
        <v>56</v>
      </c>
      <c r="E225" s="32">
        <v>46113</v>
      </c>
      <c r="F225" s="34">
        <v>102</v>
      </c>
      <c r="G225" s="3" t="s">
        <v>43</v>
      </c>
      <c r="H225" s="3">
        <v>1732</v>
      </c>
      <c r="I225" s="3">
        <v>4172</v>
      </c>
      <c r="J225" s="4">
        <v>0</v>
      </c>
      <c r="K225">
        <v>0</v>
      </c>
      <c r="L225" s="3">
        <f t="shared" si="4"/>
        <v>4172</v>
      </c>
    </row>
    <row r="226" spans="1:12" x14ac:dyDescent="0.3">
      <c r="A226" s="31">
        <v>46113</v>
      </c>
      <c r="B226" s="3">
        <v>2026</v>
      </c>
      <c r="C226" s="3">
        <v>4</v>
      </c>
      <c r="D226" s="3" t="s">
        <v>56</v>
      </c>
      <c r="E226" s="32">
        <v>46113</v>
      </c>
      <c r="F226" s="34">
        <v>201</v>
      </c>
      <c r="G226" s="3" t="s">
        <v>44</v>
      </c>
      <c r="H226" s="3">
        <v>352</v>
      </c>
      <c r="I226" s="3">
        <v>2959</v>
      </c>
      <c r="J226" s="4">
        <v>10</v>
      </c>
      <c r="K226">
        <v>277</v>
      </c>
      <c r="L226" s="3">
        <f t="shared" si="4"/>
        <v>2682</v>
      </c>
    </row>
    <row r="227" spans="1:12" x14ac:dyDescent="0.3">
      <c r="A227" s="31">
        <v>46113</v>
      </c>
      <c r="B227" s="3">
        <v>2026</v>
      </c>
      <c r="C227" s="3">
        <v>4</v>
      </c>
      <c r="D227" s="3" t="s">
        <v>56</v>
      </c>
      <c r="E227" s="32">
        <v>46113</v>
      </c>
      <c r="F227" s="34">
        <v>202</v>
      </c>
      <c r="G227" s="3" t="s">
        <v>45</v>
      </c>
      <c r="H227" s="3">
        <v>1787</v>
      </c>
      <c r="I227" s="3">
        <v>8143</v>
      </c>
      <c r="J227" s="4">
        <v>63</v>
      </c>
      <c r="K227">
        <v>521</v>
      </c>
      <c r="L227" s="3">
        <f t="shared" si="4"/>
        <v>7622</v>
      </c>
    </row>
    <row r="228" spans="1:12" x14ac:dyDescent="0.3">
      <c r="A228" s="31">
        <v>46113</v>
      </c>
      <c r="B228" s="3">
        <v>2026</v>
      </c>
      <c r="C228" s="3">
        <v>4</v>
      </c>
      <c r="D228" s="3" t="s">
        <v>56</v>
      </c>
      <c r="E228" s="32">
        <v>46113</v>
      </c>
      <c r="F228" s="34">
        <v>401</v>
      </c>
      <c r="G228" s="3" t="s">
        <v>7</v>
      </c>
      <c r="H228" s="3">
        <v>1205</v>
      </c>
      <c r="I228">
        <v>1139</v>
      </c>
      <c r="J228" s="3">
        <v>275</v>
      </c>
      <c r="K228" s="3">
        <v>429</v>
      </c>
      <c r="L228" s="3">
        <f t="shared" si="4"/>
        <v>710</v>
      </c>
    </row>
    <row r="229" spans="1:12" x14ac:dyDescent="0.3">
      <c r="A229" s="31">
        <v>46113</v>
      </c>
      <c r="B229" s="3">
        <v>2026</v>
      </c>
      <c r="C229" s="3">
        <v>4</v>
      </c>
      <c r="D229" s="3" t="s">
        <v>56</v>
      </c>
      <c r="E229" s="32">
        <v>46113</v>
      </c>
      <c r="F229" s="34">
        <v>402</v>
      </c>
      <c r="G229" s="3" t="s">
        <v>8</v>
      </c>
      <c r="H229" s="3">
        <v>3082</v>
      </c>
      <c r="I229">
        <v>8174</v>
      </c>
      <c r="J229" s="3">
        <v>94</v>
      </c>
      <c r="K229" s="3">
        <v>342</v>
      </c>
      <c r="L229" s="3">
        <f t="shared" si="4"/>
        <v>7832</v>
      </c>
    </row>
    <row r="230" spans="1:12" x14ac:dyDescent="0.3">
      <c r="A230" s="31">
        <v>46113</v>
      </c>
      <c r="B230" s="3">
        <v>2026</v>
      </c>
      <c r="C230" s="3">
        <v>4</v>
      </c>
      <c r="D230" s="3" t="s">
        <v>56</v>
      </c>
      <c r="E230" s="32">
        <v>46113</v>
      </c>
      <c r="F230" s="34">
        <v>403</v>
      </c>
      <c r="G230" s="3" t="s">
        <v>23</v>
      </c>
      <c r="H230" s="3">
        <v>641</v>
      </c>
      <c r="I230">
        <v>976</v>
      </c>
      <c r="J230" s="3">
        <v>769</v>
      </c>
      <c r="K230" s="3">
        <v>1836</v>
      </c>
      <c r="L230" s="3">
        <f t="shared" si="4"/>
        <v>-860</v>
      </c>
    </row>
    <row r="231" spans="1:12" x14ac:dyDescent="0.3">
      <c r="A231" s="31">
        <v>46113</v>
      </c>
      <c r="B231" s="3">
        <v>2026</v>
      </c>
      <c r="C231" s="3">
        <v>4</v>
      </c>
      <c r="D231" s="3" t="s">
        <v>56</v>
      </c>
      <c r="E231" s="32">
        <v>46113</v>
      </c>
      <c r="F231" s="34">
        <v>404</v>
      </c>
      <c r="G231" s="3" t="s">
        <v>9</v>
      </c>
      <c r="H231" s="3">
        <v>1702</v>
      </c>
      <c r="I231">
        <v>2143</v>
      </c>
      <c r="J231" s="3">
        <v>533</v>
      </c>
      <c r="K231" s="3">
        <v>1250</v>
      </c>
      <c r="L231" s="3">
        <f t="shared" si="4"/>
        <v>893</v>
      </c>
    </row>
    <row r="232" spans="1:12" x14ac:dyDescent="0.3">
      <c r="A232" s="31">
        <v>46113</v>
      </c>
      <c r="B232" s="3">
        <v>2026</v>
      </c>
      <c r="C232" s="3">
        <v>4</v>
      </c>
      <c r="D232" s="3" t="s">
        <v>56</v>
      </c>
      <c r="E232" s="32">
        <v>46113</v>
      </c>
      <c r="F232" s="34">
        <v>405</v>
      </c>
      <c r="G232" s="3" t="s">
        <v>10</v>
      </c>
      <c r="H232" s="3">
        <v>792</v>
      </c>
      <c r="I232">
        <v>4723</v>
      </c>
      <c r="J232" s="3">
        <v>181</v>
      </c>
      <c r="K232" s="3">
        <v>1176</v>
      </c>
      <c r="L232" s="3">
        <f t="shared" si="4"/>
        <v>3547</v>
      </c>
    </row>
    <row r="233" spans="1:12" x14ac:dyDescent="0.3">
      <c r="A233" s="31">
        <v>46113</v>
      </c>
      <c r="B233" s="3">
        <v>2026</v>
      </c>
      <c r="C233" s="3">
        <v>4</v>
      </c>
      <c r="D233" s="3" t="s">
        <v>56</v>
      </c>
      <c r="E233" s="32">
        <v>46113</v>
      </c>
      <c r="F233" s="34">
        <v>406</v>
      </c>
      <c r="G233" s="3" t="s">
        <v>11</v>
      </c>
      <c r="H233" s="3">
        <v>1173</v>
      </c>
      <c r="I233">
        <v>5420</v>
      </c>
      <c r="J233" s="3">
        <v>3588</v>
      </c>
      <c r="K233" s="3">
        <v>22061</v>
      </c>
      <c r="L233" s="3">
        <f t="shared" si="4"/>
        <v>-16641</v>
      </c>
    </row>
    <row r="234" spans="1:12" x14ac:dyDescent="0.3">
      <c r="A234" s="31">
        <v>46113</v>
      </c>
      <c r="B234" s="3">
        <v>2026</v>
      </c>
      <c r="C234" s="3">
        <v>4</v>
      </c>
      <c r="D234" s="3" t="s">
        <v>56</v>
      </c>
      <c r="E234" s="32">
        <v>46113</v>
      </c>
      <c r="F234" s="34">
        <v>2105</v>
      </c>
      <c r="G234" s="3" t="s">
        <v>25</v>
      </c>
      <c r="H234" s="3">
        <v>1850</v>
      </c>
      <c r="I234">
        <v>6913</v>
      </c>
      <c r="J234" s="3">
        <v>172</v>
      </c>
      <c r="K234" s="3">
        <v>965</v>
      </c>
      <c r="L234" s="3">
        <f t="shared" si="4"/>
        <v>5948</v>
      </c>
    </row>
    <row r="235" spans="1:12" x14ac:dyDescent="0.3">
      <c r="A235" s="31">
        <v>46113</v>
      </c>
      <c r="B235" s="3">
        <v>2026</v>
      </c>
      <c r="C235" s="3">
        <v>4</v>
      </c>
      <c r="D235" s="3" t="s">
        <v>56</v>
      </c>
      <c r="E235" s="32">
        <v>46113</v>
      </c>
      <c r="F235" s="34">
        <v>3501</v>
      </c>
      <c r="G235" s="3" t="s">
        <v>26</v>
      </c>
      <c r="H235" s="3">
        <v>308</v>
      </c>
      <c r="I235">
        <v>1961</v>
      </c>
      <c r="J235" s="3">
        <v>6</v>
      </c>
      <c r="K235" s="3">
        <v>36</v>
      </c>
      <c r="L235" s="3">
        <f t="shared" si="4"/>
        <v>1925</v>
      </c>
    </row>
    <row r="236" spans="1:12" x14ac:dyDescent="0.3">
      <c r="A236" s="31">
        <v>46143</v>
      </c>
      <c r="B236" s="3">
        <v>2026</v>
      </c>
      <c r="C236" s="3">
        <v>5</v>
      </c>
      <c r="D236" s="3" t="s">
        <v>55</v>
      </c>
      <c r="E236" s="32">
        <v>46143</v>
      </c>
      <c r="F236" s="34">
        <v>401</v>
      </c>
      <c r="G236" s="3" t="s">
        <v>7</v>
      </c>
      <c r="H236" s="3">
        <v>1048</v>
      </c>
      <c r="I236" s="3">
        <v>1019</v>
      </c>
      <c r="J236" s="3">
        <v>1197</v>
      </c>
      <c r="K236" s="3">
        <v>1537</v>
      </c>
      <c r="L236" s="3">
        <f t="shared" si="4"/>
        <v>-518</v>
      </c>
    </row>
    <row r="237" spans="1:12" x14ac:dyDescent="0.3">
      <c r="A237" s="31">
        <v>46143</v>
      </c>
      <c r="B237" s="3">
        <v>2026</v>
      </c>
      <c r="C237" s="3">
        <v>5</v>
      </c>
      <c r="D237" s="3" t="s">
        <v>55</v>
      </c>
      <c r="E237" s="32">
        <v>46143</v>
      </c>
      <c r="F237" s="34">
        <v>402</v>
      </c>
      <c r="G237" s="3" t="s">
        <v>8</v>
      </c>
      <c r="H237" s="3">
        <v>3643</v>
      </c>
      <c r="I237" s="3">
        <v>10209</v>
      </c>
      <c r="J237" s="3">
        <v>138</v>
      </c>
      <c r="K237" s="3">
        <v>409</v>
      </c>
      <c r="L237" s="3">
        <f t="shared" si="4"/>
        <v>9800</v>
      </c>
    </row>
    <row r="238" spans="1:12" x14ac:dyDescent="0.3">
      <c r="A238" s="31">
        <v>46143</v>
      </c>
      <c r="B238" s="3">
        <v>2026</v>
      </c>
      <c r="C238" s="3">
        <v>5</v>
      </c>
      <c r="D238" s="3" t="s">
        <v>55</v>
      </c>
      <c r="E238" s="32">
        <v>46143</v>
      </c>
      <c r="F238" s="34">
        <v>403</v>
      </c>
      <c r="G238" s="3" t="s">
        <v>23</v>
      </c>
      <c r="H238" s="3">
        <v>597</v>
      </c>
      <c r="I238" s="3">
        <v>854</v>
      </c>
      <c r="J238" s="3">
        <v>1140</v>
      </c>
      <c r="K238" s="3">
        <v>2522</v>
      </c>
      <c r="L238" s="3">
        <f t="shared" si="4"/>
        <v>-1668</v>
      </c>
    </row>
    <row r="239" spans="1:12" x14ac:dyDescent="0.3">
      <c r="A239" s="31">
        <v>46143</v>
      </c>
      <c r="B239" s="3">
        <v>2026</v>
      </c>
      <c r="C239" s="3">
        <v>5</v>
      </c>
      <c r="D239" s="3" t="s">
        <v>55</v>
      </c>
      <c r="E239" s="32">
        <v>46143</v>
      </c>
      <c r="F239" s="34">
        <v>404</v>
      </c>
      <c r="G239" s="3" t="s">
        <v>9</v>
      </c>
      <c r="H239" s="3">
        <v>1387</v>
      </c>
      <c r="I239" s="3">
        <v>1977</v>
      </c>
      <c r="J239" s="3">
        <v>578</v>
      </c>
      <c r="K239" s="3">
        <v>1358</v>
      </c>
      <c r="L239" s="3">
        <f t="shared" si="4"/>
        <v>619</v>
      </c>
    </row>
    <row r="240" spans="1:12" x14ac:dyDescent="0.3">
      <c r="A240" s="31">
        <v>46143</v>
      </c>
      <c r="B240" s="3">
        <v>2026</v>
      </c>
      <c r="C240" s="3">
        <v>5</v>
      </c>
      <c r="D240" s="3" t="s">
        <v>55</v>
      </c>
      <c r="E240" s="32">
        <v>46143</v>
      </c>
      <c r="F240" s="34">
        <v>405</v>
      </c>
      <c r="G240" s="3" t="s">
        <v>10</v>
      </c>
      <c r="H240" s="3">
        <v>487</v>
      </c>
      <c r="I240" s="3">
        <v>2757</v>
      </c>
      <c r="J240" s="3">
        <v>270</v>
      </c>
      <c r="K240" s="3">
        <v>1598</v>
      </c>
      <c r="L240" s="3">
        <f t="shared" si="4"/>
        <v>1159</v>
      </c>
    </row>
    <row r="241" spans="1:12" x14ac:dyDescent="0.3">
      <c r="A241" s="31">
        <v>46143</v>
      </c>
      <c r="B241" s="3">
        <v>2026</v>
      </c>
      <c r="C241" s="3">
        <v>5</v>
      </c>
      <c r="D241" s="3" t="s">
        <v>55</v>
      </c>
      <c r="E241" s="32">
        <v>46143</v>
      </c>
      <c r="F241" s="34">
        <v>406</v>
      </c>
      <c r="G241" s="3" t="s">
        <v>11</v>
      </c>
      <c r="H241" s="3">
        <v>1241</v>
      </c>
      <c r="I241" s="3">
        <v>5817</v>
      </c>
      <c r="J241" s="3">
        <v>4298</v>
      </c>
      <c r="K241" s="3">
        <v>25220</v>
      </c>
      <c r="L241" s="3">
        <f t="shared" si="4"/>
        <v>-19403</v>
      </c>
    </row>
    <row r="242" spans="1:12" x14ac:dyDescent="0.3">
      <c r="A242" s="31">
        <v>46143</v>
      </c>
      <c r="B242" s="3">
        <v>2026</v>
      </c>
      <c r="C242" s="3">
        <v>5</v>
      </c>
      <c r="D242" s="3" t="s">
        <v>55</v>
      </c>
      <c r="E242" s="32">
        <v>46143</v>
      </c>
      <c r="F242" s="34">
        <v>2105</v>
      </c>
      <c r="G242" s="3" t="s">
        <v>25</v>
      </c>
      <c r="H242" s="3">
        <v>2247</v>
      </c>
      <c r="I242" s="3">
        <v>8393</v>
      </c>
      <c r="J242" s="3">
        <v>289</v>
      </c>
      <c r="K242" s="3">
        <v>1338</v>
      </c>
      <c r="L242" s="3">
        <f t="shared" si="4"/>
        <v>7055</v>
      </c>
    </row>
    <row r="243" spans="1:12" x14ac:dyDescent="0.3">
      <c r="A243" s="31">
        <v>46143</v>
      </c>
      <c r="B243" s="3">
        <v>2026</v>
      </c>
      <c r="C243" s="3">
        <v>5</v>
      </c>
      <c r="D243" s="3" t="s">
        <v>55</v>
      </c>
      <c r="E243" s="32">
        <v>46143</v>
      </c>
      <c r="F243" s="34">
        <v>3501</v>
      </c>
      <c r="G243" s="3" t="s">
        <v>26</v>
      </c>
      <c r="H243" s="3">
        <v>287</v>
      </c>
      <c r="I243" s="3">
        <v>1873</v>
      </c>
      <c r="J243" s="3">
        <v>15</v>
      </c>
      <c r="K243" s="3">
        <v>95</v>
      </c>
      <c r="L243" s="3">
        <f t="shared" si="4"/>
        <v>1778</v>
      </c>
    </row>
    <row r="244" spans="1:12" x14ac:dyDescent="0.3">
      <c r="A244" s="31">
        <v>46143</v>
      </c>
      <c r="B244" s="3">
        <v>2026</v>
      </c>
      <c r="C244" s="3">
        <v>5</v>
      </c>
      <c r="D244" s="3" t="s">
        <v>55</v>
      </c>
      <c r="E244" s="32">
        <v>46143</v>
      </c>
      <c r="F244" s="34">
        <v>102</v>
      </c>
      <c r="G244" s="3" t="s">
        <v>43</v>
      </c>
      <c r="H244" s="3">
        <v>2051</v>
      </c>
      <c r="I244" s="3">
        <v>5160</v>
      </c>
      <c r="J244" s="3">
        <v>65</v>
      </c>
      <c r="K244" s="3">
        <v>569</v>
      </c>
      <c r="L244" s="3">
        <f t="shared" si="4"/>
        <v>4591</v>
      </c>
    </row>
    <row r="245" spans="1:12" x14ac:dyDescent="0.3">
      <c r="A245" s="31">
        <v>46143</v>
      </c>
      <c r="B245" s="3">
        <v>2026</v>
      </c>
      <c r="C245" s="3">
        <v>5</v>
      </c>
      <c r="D245" s="3" t="s">
        <v>55</v>
      </c>
      <c r="E245" s="32">
        <v>46143</v>
      </c>
      <c r="F245" s="34">
        <v>201</v>
      </c>
      <c r="G245" s="3" t="s">
        <v>44</v>
      </c>
      <c r="H245" s="3">
        <v>437</v>
      </c>
      <c r="I245" s="3">
        <v>3421</v>
      </c>
      <c r="J245" s="3">
        <v>13</v>
      </c>
      <c r="K245" s="3">
        <v>378</v>
      </c>
      <c r="L245" s="3">
        <f t="shared" si="4"/>
        <v>3043</v>
      </c>
    </row>
    <row r="246" spans="1:12" x14ac:dyDescent="0.3">
      <c r="A246" s="31">
        <v>46143</v>
      </c>
      <c r="B246" s="3">
        <v>2026</v>
      </c>
      <c r="C246" s="3">
        <v>5</v>
      </c>
      <c r="D246" s="3" t="s">
        <v>55</v>
      </c>
      <c r="E246" s="32">
        <v>46143</v>
      </c>
      <c r="F246" s="34">
        <v>202</v>
      </c>
      <c r="G246" s="3" t="s">
        <v>45</v>
      </c>
      <c r="H246" s="3">
        <v>1827</v>
      </c>
      <c r="I246" s="3">
        <v>8089</v>
      </c>
      <c r="J246" s="3">
        <v>134</v>
      </c>
      <c r="K246" s="3">
        <v>946</v>
      </c>
      <c r="L246" s="3">
        <f t="shared" si="4"/>
        <v>7143</v>
      </c>
    </row>
    <row r="247" spans="1:12" x14ac:dyDescent="0.3">
      <c r="A247" s="31">
        <v>46174</v>
      </c>
      <c r="B247" s="3">
        <v>2026</v>
      </c>
      <c r="C247" s="3">
        <v>6</v>
      </c>
      <c r="D247" s="3" t="s">
        <v>54</v>
      </c>
      <c r="E247" s="32">
        <v>46174</v>
      </c>
      <c r="F247" s="34">
        <v>102</v>
      </c>
      <c r="G247" s="3" t="s">
        <v>43</v>
      </c>
      <c r="H247" s="3">
        <v>1529</v>
      </c>
      <c r="I247" s="3">
        <v>3682</v>
      </c>
      <c r="J247" s="3">
        <v>28</v>
      </c>
      <c r="K247" s="3">
        <v>295</v>
      </c>
      <c r="L247" s="3">
        <f t="shared" si="4"/>
        <v>3387</v>
      </c>
    </row>
    <row r="248" spans="1:12" x14ac:dyDescent="0.3">
      <c r="A248" s="31">
        <v>46174</v>
      </c>
      <c r="B248" s="3">
        <v>2026</v>
      </c>
      <c r="C248" s="3">
        <v>6</v>
      </c>
      <c r="D248" s="3" t="s">
        <v>54</v>
      </c>
      <c r="E248" s="32">
        <v>46174</v>
      </c>
      <c r="F248" s="34">
        <v>201</v>
      </c>
      <c r="G248" s="3" t="s">
        <v>44</v>
      </c>
      <c r="H248" s="3">
        <v>445</v>
      </c>
      <c r="I248" s="3">
        <v>3675</v>
      </c>
      <c r="J248" s="3">
        <v>13</v>
      </c>
      <c r="K248" s="3">
        <v>380</v>
      </c>
      <c r="L248" s="3">
        <f t="shared" si="4"/>
        <v>3295</v>
      </c>
    </row>
    <row r="249" spans="1:12" x14ac:dyDescent="0.3">
      <c r="A249" s="31">
        <v>46174</v>
      </c>
      <c r="B249" s="3">
        <v>2026</v>
      </c>
      <c r="C249" s="3">
        <v>6</v>
      </c>
      <c r="D249" s="3" t="s">
        <v>54</v>
      </c>
      <c r="E249" s="32">
        <v>46174</v>
      </c>
      <c r="F249" s="34">
        <v>202</v>
      </c>
      <c r="G249" s="3" t="s">
        <v>45</v>
      </c>
      <c r="H249" s="3">
        <v>1713</v>
      </c>
      <c r="I249" s="3">
        <v>7751</v>
      </c>
      <c r="J249" s="3">
        <v>115</v>
      </c>
      <c r="K249" s="3">
        <v>1007</v>
      </c>
      <c r="L249" s="3">
        <f t="shared" si="4"/>
        <v>6744</v>
      </c>
    </row>
    <row r="250" spans="1:12" x14ac:dyDescent="0.3">
      <c r="A250" s="31">
        <v>46174</v>
      </c>
      <c r="B250" s="3">
        <v>2026</v>
      </c>
      <c r="C250" s="3">
        <v>6</v>
      </c>
      <c r="D250" s="3" t="s">
        <v>54</v>
      </c>
      <c r="E250" s="32">
        <v>46174</v>
      </c>
      <c r="F250" s="34">
        <v>401</v>
      </c>
      <c r="G250" s="3" t="s">
        <v>7</v>
      </c>
      <c r="H250" s="3">
        <v>1264</v>
      </c>
      <c r="I250" s="3">
        <v>1278</v>
      </c>
      <c r="J250" s="3">
        <v>1372</v>
      </c>
      <c r="K250" s="3">
        <v>1985</v>
      </c>
      <c r="L250" s="3">
        <f t="shared" si="4"/>
        <v>-707</v>
      </c>
    </row>
    <row r="251" spans="1:12" x14ac:dyDescent="0.3">
      <c r="A251" s="31">
        <v>46174</v>
      </c>
      <c r="B251" s="3">
        <v>2026</v>
      </c>
      <c r="C251" s="3">
        <v>6</v>
      </c>
      <c r="D251" s="3" t="s">
        <v>54</v>
      </c>
      <c r="E251" s="32">
        <v>46174</v>
      </c>
      <c r="F251" s="34">
        <v>402</v>
      </c>
      <c r="G251" s="3" t="s">
        <v>8</v>
      </c>
      <c r="H251" s="3">
        <v>3244</v>
      </c>
      <c r="I251" s="3">
        <v>9280</v>
      </c>
      <c r="J251" s="3">
        <v>147</v>
      </c>
      <c r="K251" s="3">
        <v>534</v>
      </c>
      <c r="L251" s="3">
        <f t="shared" si="4"/>
        <v>8746</v>
      </c>
    </row>
    <row r="252" spans="1:12" x14ac:dyDescent="0.3">
      <c r="A252" s="31">
        <v>46174</v>
      </c>
      <c r="B252" s="3">
        <v>2026</v>
      </c>
      <c r="C252" s="3">
        <v>6</v>
      </c>
      <c r="D252" s="3" t="s">
        <v>54</v>
      </c>
      <c r="E252" s="32">
        <v>46174</v>
      </c>
      <c r="F252" s="34">
        <v>403</v>
      </c>
      <c r="G252" s="3" t="s">
        <v>23</v>
      </c>
      <c r="H252" s="3">
        <v>656</v>
      </c>
      <c r="I252" s="3">
        <v>964</v>
      </c>
      <c r="J252" s="3">
        <v>940</v>
      </c>
      <c r="K252" s="3">
        <v>2094</v>
      </c>
      <c r="L252" s="3">
        <f t="shared" si="4"/>
        <v>-1130</v>
      </c>
    </row>
    <row r="253" spans="1:12" x14ac:dyDescent="0.3">
      <c r="A253" s="31">
        <v>46174</v>
      </c>
      <c r="B253" s="3">
        <v>2026</v>
      </c>
      <c r="C253" s="3">
        <v>6</v>
      </c>
      <c r="D253" s="3" t="s">
        <v>54</v>
      </c>
      <c r="E253" s="32">
        <v>46174</v>
      </c>
      <c r="F253" s="34">
        <v>404</v>
      </c>
      <c r="G253" s="3" t="s">
        <v>9</v>
      </c>
      <c r="H253" s="3">
        <v>1510</v>
      </c>
      <c r="I253" s="3">
        <v>2323</v>
      </c>
      <c r="J253" s="3">
        <v>770</v>
      </c>
      <c r="K253" s="3">
        <v>1766</v>
      </c>
      <c r="L253" s="3">
        <f t="shared" si="4"/>
        <v>557</v>
      </c>
    </row>
    <row r="254" spans="1:12" x14ac:dyDescent="0.3">
      <c r="A254" s="31">
        <v>46174</v>
      </c>
      <c r="B254" s="3">
        <v>2026</v>
      </c>
      <c r="C254" s="3">
        <v>6</v>
      </c>
      <c r="D254" s="3" t="s">
        <v>54</v>
      </c>
      <c r="E254" s="32">
        <v>46174</v>
      </c>
      <c r="F254" s="34">
        <v>405</v>
      </c>
      <c r="G254" s="3" t="s">
        <v>10</v>
      </c>
      <c r="H254" s="3">
        <v>649</v>
      </c>
      <c r="I254" s="3">
        <v>3465</v>
      </c>
      <c r="J254" s="3">
        <v>303</v>
      </c>
      <c r="K254" s="3">
        <v>1683</v>
      </c>
      <c r="L254" s="3">
        <f t="shared" si="4"/>
        <v>1782</v>
      </c>
    </row>
    <row r="255" spans="1:12" x14ac:dyDescent="0.3">
      <c r="A255" s="31">
        <v>46174</v>
      </c>
      <c r="B255" s="3">
        <v>2026</v>
      </c>
      <c r="C255" s="3">
        <v>6</v>
      </c>
      <c r="D255" s="3" t="s">
        <v>54</v>
      </c>
      <c r="E255" s="32">
        <v>46174</v>
      </c>
      <c r="F255" s="34">
        <v>406</v>
      </c>
      <c r="G255" s="3" t="s">
        <v>11</v>
      </c>
      <c r="H255" s="3">
        <v>1088</v>
      </c>
      <c r="I255" s="3">
        <v>5054</v>
      </c>
      <c r="J255" s="3">
        <v>4917</v>
      </c>
      <c r="K255" s="3">
        <v>28322</v>
      </c>
      <c r="L255" s="3">
        <f t="shared" si="4"/>
        <v>-23268</v>
      </c>
    </row>
    <row r="256" spans="1:12" x14ac:dyDescent="0.3">
      <c r="A256" s="31">
        <v>46174</v>
      </c>
      <c r="B256" s="3">
        <v>2026</v>
      </c>
      <c r="C256" s="3">
        <v>6</v>
      </c>
      <c r="D256" s="3" t="s">
        <v>54</v>
      </c>
      <c r="E256" s="32">
        <v>46174</v>
      </c>
      <c r="F256" s="34">
        <v>2105</v>
      </c>
      <c r="G256" s="3" t="s">
        <v>25</v>
      </c>
      <c r="H256" s="3">
        <v>2704</v>
      </c>
      <c r="I256" s="3">
        <v>9915</v>
      </c>
      <c r="J256" s="3">
        <v>226</v>
      </c>
      <c r="K256" s="3">
        <v>1014</v>
      </c>
      <c r="L256" s="3">
        <f t="shared" si="4"/>
        <v>8901</v>
      </c>
    </row>
    <row r="257" spans="1:12" x14ac:dyDescent="0.3">
      <c r="A257" s="31">
        <v>46174</v>
      </c>
      <c r="B257" s="3">
        <v>2026</v>
      </c>
      <c r="C257" s="3">
        <v>6</v>
      </c>
      <c r="D257" s="3" t="s">
        <v>54</v>
      </c>
      <c r="E257" s="32">
        <v>46174</v>
      </c>
      <c r="F257" s="34">
        <v>3501</v>
      </c>
      <c r="G257" s="3" t="s">
        <v>26</v>
      </c>
      <c r="H257" s="3">
        <v>415</v>
      </c>
      <c r="I257" s="3">
        <v>2785</v>
      </c>
      <c r="J257" s="3">
        <v>6</v>
      </c>
      <c r="K257" s="3">
        <v>38</v>
      </c>
      <c r="L257" s="3">
        <f t="shared" si="4"/>
        <v>2747</v>
      </c>
    </row>
    <row r="258" spans="1:12" x14ac:dyDescent="0.3">
      <c r="A258" s="31">
        <v>46204</v>
      </c>
      <c r="B258" s="3">
        <v>2026</v>
      </c>
      <c r="C258" s="3">
        <v>7</v>
      </c>
      <c r="D258" s="3" t="s">
        <v>53</v>
      </c>
      <c r="E258" s="32">
        <v>46204</v>
      </c>
      <c r="F258" s="34">
        <v>102</v>
      </c>
      <c r="G258" s="3" t="s">
        <v>43</v>
      </c>
      <c r="H258" s="3">
        <v>1308</v>
      </c>
      <c r="I258" s="3">
        <v>4063</v>
      </c>
      <c r="J258" s="3">
        <v>0</v>
      </c>
      <c r="K258" s="3">
        <v>1</v>
      </c>
      <c r="L258" s="3">
        <f t="shared" si="4"/>
        <v>4062</v>
      </c>
    </row>
    <row r="259" spans="1:12" x14ac:dyDescent="0.3">
      <c r="A259" s="31">
        <v>46204</v>
      </c>
      <c r="B259" s="3">
        <v>2026</v>
      </c>
      <c r="C259" s="3">
        <v>7</v>
      </c>
      <c r="D259" s="3" t="s">
        <v>53</v>
      </c>
      <c r="E259" s="32">
        <v>46204</v>
      </c>
      <c r="F259" s="34">
        <v>201</v>
      </c>
      <c r="G259" s="3" t="s">
        <v>44</v>
      </c>
      <c r="H259" s="3">
        <v>343</v>
      </c>
      <c r="I259" s="3">
        <v>2743</v>
      </c>
      <c r="J259" s="3">
        <v>15</v>
      </c>
      <c r="K259" s="3">
        <v>510</v>
      </c>
      <c r="L259" s="3">
        <f t="shared" ref="L259:L290" si="5">I259-K259</f>
        <v>2233</v>
      </c>
    </row>
    <row r="260" spans="1:12" x14ac:dyDescent="0.3">
      <c r="A260" s="31">
        <v>46204</v>
      </c>
      <c r="B260" s="3">
        <v>2026</v>
      </c>
      <c r="C260" s="3">
        <v>7</v>
      </c>
      <c r="D260" s="3" t="s">
        <v>53</v>
      </c>
      <c r="E260" s="32">
        <v>46204</v>
      </c>
      <c r="F260" s="34">
        <v>202</v>
      </c>
      <c r="G260" s="3" t="s">
        <v>45</v>
      </c>
      <c r="H260" s="3">
        <v>1693</v>
      </c>
      <c r="I260" s="3">
        <v>7619</v>
      </c>
      <c r="J260" s="3">
        <v>124</v>
      </c>
      <c r="K260" s="3">
        <v>943</v>
      </c>
      <c r="L260" s="3">
        <f t="shared" si="5"/>
        <v>6676</v>
      </c>
    </row>
    <row r="261" spans="1:12" x14ac:dyDescent="0.3">
      <c r="A261" s="31">
        <v>46204</v>
      </c>
      <c r="B261" s="3">
        <v>2026</v>
      </c>
      <c r="C261" s="3">
        <v>7</v>
      </c>
      <c r="D261" s="3" t="s">
        <v>53</v>
      </c>
      <c r="E261" s="32">
        <v>46204</v>
      </c>
      <c r="F261" s="34">
        <v>401</v>
      </c>
      <c r="G261" s="3" t="s">
        <v>7</v>
      </c>
      <c r="H261" s="3">
        <v>1370</v>
      </c>
      <c r="I261" s="3">
        <v>1188</v>
      </c>
      <c r="J261" s="3">
        <v>1304</v>
      </c>
      <c r="K261" s="3">
        <v>1645</v>
      </c>
      <c r="L261" s="3">
        <f t="shared" si="5"/>
        <v>-457</v>
      </c>
    </row>
    <row r="262" spans="1:12" x14ac:dyDescent="0.3">
      <c r="A262" s="31">
        <v>46204</v>
      </c>
      <c r="B262" s="3">
        <v>2026</v>
      </c>
      <c r="C262" s="3">
        <v>7</v>
      </c>
      <c r="D262" s="3" t="s">
        <v>53</v>
      </c>
      <c r="E262" s="32">
        <v>46204</v>
      </c>
      <c r="F262" s="34">
        <v>402</v>
      </c>
      <c r="G262" s="3" t="s">
        <v>8</v>
      </c>
      <c r="H262" s="3">
        <v>3249</v>
      </c>
      <c r="I262" s="3">
        <v>8837</v>
      </c>
      <c r="J262" s="3">
        <v>157</v>
      </c>
      <c r="K262" s="3">
        <v>578</v>
      </c>
      <c r="L262" s="3">
        <f t="shared" si="5"/>
        <v>8259</v>
      </c>
    </row>
    <row r="263" spans="1:12" x14ac:dyDescent="0.3">
      <c r="A263" s="31">
        <v>46204</v>
      </c>
      <c r="B263" s="3">
        <v>2026</v>
      </c>
      <c r="C263" s="3">
        <v>7</v>
      </c>
      <c r="D263" s="3" t="s">
        <v>53</v>
      </c>
      <c r="E263" s="32">
        <v>46204</v>
      </c>
      <c r="F263" s="34">
        <v>403</v>
      </c>
      <c r="G263" s="3" t="s">
        <v>23</v>
      </c>
      <c r="H263" s="3">
        <v>719</v>
      </c>
      <c r="I263" s="3">
        <v>1021</v>
      </c>
      <c r="J263" s="3">
        <v>1039</v>
      </c>
      <c r="K263" s="3">
        <v>2212</v>
      </c>
      <c r="L263" s="3">
        <f t="shared" si="5"/>
        <v>-1191</v>
      </c>
    </row>
    <row r="264" spans="1:12" x14ac:dyDescent="0.3">
      <c r="A264" s="31">
        <v>46204</v>
      </c>
      <c r="B264" s="3">
        <v>2026</v>
      </c>
      <c r="C264" s="3">
        <v>7</v>
      </c>
      <c r="D264" s="3" t="s">
        <v>53</v>
      </c>
      <c r="E264" s="32">
        <v>46204</v>
      </c>
      <c r="F264" s="34">
        <v>404</v>
      </c>
      <c r="G264" s="3" t="s">
        <v>9</v>
      </c>
      <c r="H264" s="3">
        <v>1361</v>
      </c>
      <c r="I264" s="3">
        <v>2228</v>
      </c>
      <c r="J264" s="3">
        <v>895</v>
      </c>
      <c r="K264" s="3">
        <v>2023</v>
      </c>
      <c r="L264" s="3">
        <f t="shared" si="5"/>
        <v>205</v>
      </c>
    </row>
    <row r="265" spans="1:12" x14ac:dyDescent="0.3">
      <c r="A265" s="31">
        <v>46204</v>
      </c>
      <c r="B265" s="3">
        <v>2026</v>
      </c>
      <c r="C265" s="3">
        <v>7</v>
      </c>
      <c r="D265" s="3" t="s">
        <v>53</v>
      </c>
      <c r="E265" s="32">
        <v>46204</v>
      </c>
      <c r="F265" s="34">
        <v>405</v>
      </c>
      <c r="G265" s="3" t="s">
        <v>10</v>
      </c>
      <c r="H265" s="3">
        <v>1079</v>
      </c>
      <c r="I265" s="3">
        <v>5367</v>
      </c>
      <c r="J265" s="3">
        <v>199</v>
      </c>
      <c r="K265" s="3">
        <v>1164</v>
      </c>
      <c r="L265" s="3">
        <f t="shared" si="5"/>
        <v>4203</v>
      </c>
    </row>
    <row r="266" spans="1:12" x14ac:dyDescent="0.3">
      <c r="A266" s="31">
        <v>46204</v>
      </c>
      <c r="B266" s="3">
        <v>2026</v>
      </c>
      <c r="C266" s="3">
        <v>7</v>
      </c>
      <c r="D266" s="3" t="s">
        <v>53</v>
      </c>
      <c r="E266" s="32">
        <v>46204</v>
      </c>
      <c r="F266" s="34">
        <v>406</v>
      </c>
      <c r="G266" s="3" t="s">
        <v>11</v>
      </c>
      <c r="H266" s="3">
        <v>1133</v>
      </c>
      <c r="I266" s="3">
        <v>4973</v>
      </c>
      <c r="J266" s="3">
        <v>4898</v>
      </c>
      <c r="K266" s="3">
        <v>27523</v>
      </c>
      <c r="L266" s="3">
        <f t="shared" si="5"/>
        <v>-22550</v>
      </c>
    </row>
    <row r="267" spans="1:12" x14ac:dyDescent="0.3">
      <c r="A267" s="31">
        <v>46204</v>
      </c>
      <c r="B267" s="3">
        <v>2026</v>
      </c>
      <c r="C267" s="3">
        <v>7</v>
      </c>
      <c r="D267" s="3" t="s">
        <v>53</v>
      </c>
      <c r="E267" s="32">
        <v>46204</v>
      </c>
      <c r="F267" s="34">
        <v>2105</v>
      </c>
      <c r="G267" s="3" t="s">
        <v>25</v>
      </c>
      <c r="H267" s="3">
        <v>2884</v>
      </c>
      <c r="I267" s="3">
        <v>10491</v>
      </c>
      <c r="J267" s="3">
        <v>276</v>
      </c>
      <c r="K267" s="3">
        <v>1178</v>
      </c>
      <c r="L267" s="3">
        <f t="shared" si="5"/>
        <v>9313</v>
      </c>
    </row>
    <row r="268" spans="1:12" x14ac:dyDescent="0.3">
      <c r="A268" s="31">
        <v>46204</v>
      </c>
      <c r="B268" s="3">
        <v>2026</v>
      </c>
      <c r="C268" s="3">
        <v>7</v>
      </c>
      <c r="D268" s="3" t="s">
        <v>53</v>
      </c>
      <c r="E268" s="32">
        <v>46204</v>
      </c>
      <c r="F268" s="34">
        <v>3501</v>
      </c>
      <c r="G268" s="3" t="s">
        <v>26</v>
      </c>
      <c r="H268" s="3">
        <v>477</v>
      </c>
      <c r="I268" s="3">
        <v>3298</v>
      </c>
      <c r="J268" s="3">
        <v>23</v>
      </c>
      <c r="K268" s="3">
        <v>162</v>
      </c>
      <c r="L268" s="3">
        <f t="shared" si="5"/>
        <v>3136</v>
      </c>
    </row>
    <row r="269" spans="1:12" x14ac:dyDescent="0.3">
      <c r="A269" s="31">
        <v>46235</v>
      </c>
      <c r="B269" s="3">
        <v>2026</v>
      </c>
      <c r="C269" s="3">
        <v>8</v>
      </c>
      <c r="D269" s="3" t="s">
        <v>16</v>
      </c>
      <c r="E269" s="32">
        <v>46235</v>
      </c>
      <c r="F269" s="34">
        <v>102</v>
      </c>
      <c r="G269" s="3" t="s">
        <v>43</v>
      </c>
      <c r="H269" s="3">
        <v>1321</v>
      </c>
      <c r="I269" s="3">
        <v>3620</v>
      </c>
      <c r="J269" s="3">
        <v>0</v>
      </c>
      <c r="K269" s="3">
        <v>0</v>
      </c>
      <c r="L269" s="3">
        <f t="shared" si="5"/>
        <v>3620</v>
      </c>
    </row>
    <row r="270" spans="1:12" x14ac:dyDescent="0.3">
      <c r="A270" s="31">
        <v>46235</v>
      </c>
      <c r="B270" s="3">
        <v>2026</v>
      </c>
      <c r="C270" s="3">
        <v>8</v>
      </c>
      <c r="D270" s="3" t="s">
        <v>16</v>
      </c>
      <c r="E270" s="32">
        <v>46235</v>
      </c>
      <c r="F270" s="34">
        <v>201</v>
      </c>
      <c r="G270" s="3" t="s">
        <v>44</v>
      </c>
      <c r="H270" s="3">
        <v>474</v>
      </c>
      <c r="I270" s="3">
        <v>3959</v>
      </c>
      <c r="J270" s="3">
        <v>9</v>
      </c>
      <c r="K270" s="3">
        <v>167</v>
      </c>
      <c r="L270" s="3">
        <f t="shared" si="5"/>
        <v>3792</v>
      </c>
    </row>
    <row r="271" spans="1:12" x14ac:dyDescent="0.3">
      <c r="A271" s="31">
        <v>46235</v>
      </c>
      <c r="B271" s="3">
        <v>2026</v>
      </c>
      <c r="C271" s="3">
        <v>8</v>
      </c>
      <c r="D271" s="3" t="s">
        <v>16</v>
      </c>
      <c r="E271" s="32">
        <v>46235</v>
      </c>
      <c r="F271" s="34">
        <v>202</v>
      </c>
      <c r="G271" s="3" t="s">
        <v>45</v>
      </c>
      <c r="H271" s="3">
        <v>1820</v>
      </c>
      <c r="I271" s="3">
        <v>8162</v>
      </c>
      <c r="J271" s="3">
        <v>84</v>
      </c>
      <c r="K271" s="3">
        <v>619</v>
      </c>
      <c r="L271" s="3">
        <f t="shared" si="5"/>
        <v>7543</v>
      </c>
    </row>
    <row r="272" spans="1:12" x14ac:dyDescent="0.3">
      <c r="A272" s="31">
        <v>46235</v>
      </c>
      <c r="B272" s="3">
        <v>2026</v>
      </c>
      <c r="C272" s="3">
        <v>8</v>
      </c>
      <c r="D272" s="3" t="s">
        <v>16</v>
      </c>
      <c r="E272" s="32">
        <v>46235</v>
      </c>
      <c r="F272" s="34">
        <v>401</v>
      </c>
      <c r="G272" s="3" t="s">
        <v>7</v>
      </c>
      <c r="H272" s="3">
        <v>1798</v>
      </c>
      <c r="I272" s="3">
        <v>1510</v>
      </c>
      <c r="J272" s="3">
        <v>1445</v>
      </c>
      <c r="K272" s="3">
        <v>1644</v>
      </c>
      <c r="L272" s="3">
        <f t="shared" si="5"/>
        <v>-134</v>
      </c>
    </row>
    <row r="273" spans="1:12" x14ac:dyDescent="0.3">
      <c r="A273" s="31">
        <v>46235</v>
      </c>
      <c r="B273" s="3">
        <v>2026</v>
      </c>
      <c r="C273" s="3">
        <v>8</v>
      </c>
      <c r="D273" s="3" t="s">
        <v>16</v>
      </c>
      <c r="E273" s="32">
        <v>46235</v>
      </c>
      <c r="F273" s="34">
        <v>402</v>
      </c>
      <c r="G273" s="3" t="s">
        <v>8</v>
      </c>
      <c r="H273" s="3">
        <v>2761</v>
      </c>
      <c r="I273" s="3">
        <v>7759</v>
      </c>
      <c r="J273" s="3">
        <v>137</v>
      </c>
      <c r="K273" s="3">
        <v>542</v>
      </c>
      <c r="L273" s="3">
        <f t="shared" si="5"/>
        <v>7217</v>
      </c>
    </row>
    <row r="274" spans="1:12" x14ac:dyDescent="0.3">
      <c r="A274" s="31">
        <v>46235</v>
      </c>
      <c r="B274" s="3">
        <v>2026</v>
      </c>
      <c r="C274" s="3">
        <v>8</v>
      </c>
      <c r="D274" s="3" t="s">
        <v>16</v>
      </c>
      <c r="E274" s="32">
        <v>46235</v>
      </c>
      <c r="F274" s="34">
        <v>403</v>
      </c>
      <c r="G274" s="3" t="s">
        <v>23</v>
      </c>
      <c r="H274" s="3">
        <v>734</v>
      </c>
      <c r="I274" s="3">
        <v>1073</v>
      </c>
      <c r="J274" s="3">
        <v>959</v>
      </c>
      <c r="K274" s="3">
        <v>2182</v>
      </c>
      <c r="L274" s="3">
        <f t="shared" si="5"/>
        <v>-1109</v>
      </c>
    </row>
    <row r="275" spans="1:12" x14ac:dyDescent="0.3">
      <c r="A275" s="31">
        <v>46235</v>
      </c>
      <c r="B275" s="3">
        <v>2026</v>
      </c>
      <c r="C275" s="3">
        <v>8</v>
      </c>
      <c r="D275" s="3" t="s">
        <v>16</v>
      </c>
      <c r="E275" s="32">
        <v>46235</v>
      </c>
      <c r="F275" s="34">
        <v>404</v>
      </c>
      <c r="G275" s="3" t="s">
        <v>9</v>
      </c>
      <c r="H275" s="3">
        <v>1359</v>
      </c>
      <c r="I275" s="3">
        <v>2241</v>
      </c>
      <c r="J275" s="3">
        <v>849</v>
      </c>
      <c r="K275" s="3">
        <v>1862</v>
      </c>
      <c r="L275" s="3">
        <f t="shared" si="5"/>
        <v>379</v>
      </c>
    </row>
    <row r="276" spans="1:12" x14ac:dyDescent="0.3">
      <c r="A276" s="31">
        <v>46235</v>
      </c>
      <c r="B276" s="3">
        <v>2026</v>
      </c>
      <c r="C276" s="3">
        <v>8</v>
      </c>
      <c r="D276" s="3" t="s">
        <v>16</v>
      </c>
      <c r="E276" s="32">
        <v>46235</v>
      </c>
      <c r="F276" s="34">
        <v>405</v>
      </c>
      <c r="G276" s="3" t="s">
        <v>10</v>
      </c>
      <c r="H276" s="3">
        <v>622</v>
      </c>
      <c r="I276" s="3">
        <v>3270</v>
      </c>
      <c r="J276" s="3">
        <v>243</v>
      </c>
      <c r="K276" s="3">
        <v>1495</v>
      </c>
      <c r="L276" s="3">
        <f t="shared" si="5"/>
        <v>1775</v>
      </c>
    </row>
    <row r="277" spans="1:12" x14ac:dyDescent="0.3">
      <c r="A277" s="31">
        <v>46235</v>
      </c>
      <c r="B277" s="3">
        <v>2026</v>
      </c>
      <c r="C277" s="3">
        <v>8</v>
      </c>
      <c r="D277" s="3" t="s">
        <v>16</v>
      </c>
      <c r="E277" s="32">
        <v>46235</v>
      </c>
      <c r="F277" s="34">
        <v>406</v>
      </c>
      <c r="G277" s="3" t="s">
        <v>11</v>
      </c>
      <c r="H277" s="3">
        <v>1218</v>
      </c>
      <c r="I277" s="3">
        <v>5246</v>
      </c>
      <c r="J277" s="3">
        <v>4493</v>
      </c>
      <c r="K277" s="3">
        <v>25727</v>
      </c>
      <c r="L277" s="3">
        <f t="shared" si="5"/>
        <v>-20481</v>
      </c>
    </row>
    <row r="278" spans="1:12" x14ac:dyDescent="0.3">
      <c r="A278" s="31">
        <v>46235</v>
      </c>
      <c r="B278" s="3">
        <v>2026</v>
      </c>
      <c r="C278" s="3">
        <v>8</v>
      </c>
      <c r="D278" s="3" t="s">
        <v>16</v>
      </c>
      <c r="E278" s="32">
        <v>46235</v>
      </c>
      <c r="F278" s="34">
        <v>2105</v>
      </c>
      <c r="G278" s="3" t="s">
        <v>25</v>
      </c>
      <c r="H278" s="3">
        <v>2170</v>
      </c>
      <c r="I278" s="3">
        <v>7963</v>
      </c>
      <c r="J278" s="3">
        <v>100</v>
      </c>
      <c r="K278" s="3">
        <v>337</v>
      </c>
      <c r="L278" s="3">
        <f t="shared" si="5"/>
        <v>7626</v>
      </c>
    </row>
    <row r="279" spans="1:12" x14ac:dyDescent="0.3">
      <c r="A279" s="31">
        <v>46235</v>
      </c>
      <c r="B279" s="3">
        <v>2026</v>
      </c>
      <c r="C279" s="3">
        <v>8</v>
      </c>
      <c r="D279" s="3" t="s">
        <v>16</v>
      </c>
      <c r="E279" s="32">
        <v>46235</v>
      </c>
      <c r="F279" s="34">
        <v>3501</v>
      </c>
      <c r="G279" s="3" t="s">
        <v>26</v>
      </c>
      <c r="H279" s="3">
        <v>207</v>
      </c>
      <c r="I279" s="3">
        <v>1456</v>
      </c>
      <c r="J279" s="3">
        <v>10</v>
      </c>
      <c r="K279" s="3">
        <v>70</v>
      </c>
      <c r="L279" s="3">
        <f t="shared" si="5"/>
        <v>1386</v>
      </c>
    </row>
    <row r="280" spans="1:12" x14ac:dyDescent="0.3">
      <c r="A280" s="31">
        <v>46266</v>
      </c>
      <c r="B280" s="3">
        <v>2026</v>
      </c>
      <c r="C280" s="3">
        <v>9</v>
      </c>
      <c r="D280" s="3" t="s">
        <v>15</v>
      </c>
      <c r="E280" s="32">
        <v>46266</v>
      </c>
      <c r="F280" s="34">
        <v>102</v>
      </c>
      <c r="G280" s="3" t="s">
        <v>43</v>
      </c>
      <c r="H280" s="3">
        <v>1172</v>
      </c>
      <c r="I280" s="3">
        <v>2935</v>
      </c>
      <c r="J280" s="3">
        <v>0</v>
      </c>
      <c r="K280" s="3">
        <v>0</v>
      </c>
      <c r="L280" s="3">
        <f t="shared" si="5"/>
        <v>2935</v>
      </c>
    </row>
    <row r="281" spans="1:12" x14ac:dyDescent="0.3">
      <c r="A281" s="31">
        <v>46266</v>
      </c>
      <c r="B281" s="3">
        <v>2026</v>
      </c>
      <c r="C281" s="3">
        <v>9</v>
      </c>
      <c r="D281" s="3" t="s">
        <v>15</v>
      </c>
      <c r="E281" s="32">
        <v>46266</v>
      </c>
      <c r="F281" s="34">
        <v>201</v>
      </c>
      <c r="G281" s="3" t="s">
        <v>44</v>
      </c>
      <c r="H281" s="3">
        <v>515</v>
      </c>
      <c r="I281" s="3">
        <v>4151</v>
      </c>
      <c r="J281" s="3">
        <v>20</v>
      </c>
      <c r="K281" s="3">
        <v>636</v>
      </c>
      <c r="L281" s="3">
        <f t="shared" si="5"/>
        <v>3515</v>
      </c>
    </row>
    <row r="282" spans="1:12" x14ac:dyDescent="0.3">
      <c r="A282" s="31">
        <v>46266</v>
      </c>
      <c r="B282" s="3">
        <v>2026</v>
      </c>
      <c r="C282" s="3">
        <v>9</v>
      </c>
      <c r="D282" s="3" t="s">
        <v>15</v>
      </c>
      <c r="E282" s="32">
        <v>46266</v>
      </c>
      <c r="F282" s="34">
        <v>202</v>
      </c>
      <c r="G282" s="3" t="s">
        <v>45</v>
      </c>
      <c r="H282" s="3">
        <v>1646</v>
      </c>
      <c r="I282" s="3">
        <v>7786</v>
      </c>
      <c r="J282" s="3">
        <v>186</v>
      </c>
      <c r="K282" s="3">
        <v>1279</v>
      </c>
      <c r="L282" s="3">
        <f t="shared" si="5"/>
        <v>6507</v>
      </c>
    </row>
    <row r="283" spans="1:12" x14ac:dyDescent="0.3">
      <c r="A283" s="31">
        <v>46266</v>
      </c>
      <c r="B283" s="3">
        <v>2026</v>
      </c>
      <c r="C283" s="3">
        <v>9</v>
      </c>
      <c r="D283" s="3" t="s">
        <v>15</v>
      </c>
      <c r="E283" s="32">
        <v>46266</v>
      </c>
      <c r="F283" s="34">
        <v>401</v>
      </c>
      <c r="G283" s="3" t="s">
        <v>7</v>
      </c>
      <c r="H283" s="3">
        <v>2577</v>
      </c>
      <c r="I283" s="3">
        <v>2057</v>
      </c>
      <c r="J283" s="3">
        <v>1277</v>
      </c>
      <c r="K283" s="3">
        <v>1456</v>
      </c>
      <c r="L283" s="3">
        <f t="shared" si="5"/>
        <v>601</v>
      </c>
    </row>
    <row r="284" spans="1:12" x14ac:dyDescent="0.3">
      <c r="A284" s="31">
        <v>46266</v>
      </c>
      <c r="B284" s="3">
        <v>2026</v>
      </c>
      <c r="C284" s="3">
        <v>9</v>
      </c>
      <c r="D284" s="3" t="s">
        <v>15</v>
      </c>
      <c r="E284" s="32">
        <v>46266</v>
      </c>
      <c r="F284" s="34">
        <v>402</v>
      </c>
      <c r="G284" s="3" t="s">
        <v>8</v>
      </c>
      <c r="H284" s="3">
        <v>3391</v>
      </c>
      <c r="I284" s="3">
        <v>9842</v>
      </c>
      <c r="J284" s="3">
        <v>218</v>
      </c>
      <c r="K284" s="3">
        <v>859</v>
      </c>
      <c r="L284" s="3">
        <f t="shared" si="5"/>
        <v>8983</v>
      </c>
    </row>
    <row r="285" spans="1:12" x14ac:dyDescent="0.3">
      <c r="A285" s="31">
        <v>46266</v>
      </c>
      <c r="B285" s="3">
        <v>2026</v>
      </c>
      <c r="C285" s="3">
        <v>9</v>
      </c>
      <c r="D285" s="3" t="s">
        <v>15</v>
      </c>
      <c r="E285" s="32">
        <v>46266</v>
      </c>
      <c r="F285" s="34">
        <v>403</v>
      </c>
      <c r="G285" s="3" t="s">
        <v>23</v>
      </c>
      <c r="H285" s="3">
        <v>647</v>
      </c>
      <c r="I285" s="3">
        <v>929</v>
      </c>
      <c r="J285" s="3">
        <v>1034</v>
      </c>
      <c r="K285" s="3">
        <v>2211</v>
      </c>
      <c r="L285" s="3">
        <f t="shared" si="5"/>
        <v>-1282</v>
      </c>
    </row>
    <row r="286" spans="1:12" x14ac:dyDescent="0.3">
      <c r="A286" s="31">
        <v>46266</v>
      </c>
      <c r="B286" s="3">
        <v>2026</v>
      </c>
      <c r="C286" s="3">
        <v>9</v>
      </c>
      <c r="D286" s="3" t="s">
        <v>15</v>
      </c>
      <c r="E286" s="32">
        <v>46266</v>
      </c>
      <c r="F286" s="34">
        <v>404</v>
      </c>
      <c r="G286" s="3" t="s">
        <v>9</v>
      </c>
      <c r="H286" s="3">
        <v>1576</v>
      </c>
      <c r="I286" s="3">
        <v>2607</v>
      </c>
      <c r="J286" s="3">
        <v>573</v>
      </c>
      <c r="K286" s="3">
        <v>1347</v>
      </c>
      <c r="L286" s="3">
        <f t="shared" si="5"/>
        <v>1260</v>
      </c>
    </row>
    <row r="287" spans="1:12" x14ac:dyDescent="0.3">
      <c r="A287" s="31">
        <v>46266</v>
      </c>
      <c r="B287" s="3">
        <v>2026</v>
      </c>
      <c r="C287" s="3">
        <v>9</v>
      </c>
      <c r="D287" s="3" t="s">
        <v>15</v>
      </c>
      <c r="E287" s="32">
        <v>46266</v>
      </c>
      <c r="F287" s="34">
        <v>405</v>
      </c>
      <c r="G287" s="3" t="s">
        <v>10</v>
      </c>
      <c r="H287" s="3">
        <v>782</v>
      </c>
      <c r="I287" s="3">
        <v>4102</v>
      </c>
      <c r="J287" s="3">
        <v>199</v>
      </c>
      <c r="K287" s="3">
        <v>1157</v>
      </c>
      <c r="L287" s="3">
        <f t="shared" si="5"/>
        <v>2945</v>
      </c>
    </row>
    <row r="288" spans="1:12" x14ac:dyDescent="0.3">
      <c r="A288" s="31">
        <v>46266</v>
      </c>
      <c r="B288" s="3">
        <v>2026</v>
      </c>
      <c r="C288" s="3">
        <v>9</v>
      </c>
      <c r="D288" s="3" t="s">
        <v>15</v>
      </c>
      <c r="E288" s="32">
        <v>46266</v>
      </c>
      <c r="F288" s="34">
        <v>406</v>
      </c>
      <c r="G288" s="3" t="s">
        <v>11</v>
      </c>
      <c r="H288" s="3">
        <v>1512</v>
      </c>
      <c r="I288" s="3">
        <v>7250</v>
      </c>
      <c r="J288" s="3">
        <v>4457</v>
      </c>
      <c r="K288" s="3">
        <v>26123</v>
      </c>
      <c r="L288" s="3">
        <f t="shared" si="5"/>
        <v>-18873</v>
      </c>
    </row>
    <row r="289" spans="1:12" x14ac:dyDescent="0.3">
      <c r="A289" s="31">
        <v>46266</v>
      </c>
      <c r="B289" s="3">
        <v>2026</v>
      </c>
      <c r="C289" s="3">
        <v>9</v>
      </c>
      <c r="D289" s="3" t="s">
        <v>15</v>
      </c>
      <c r="E289" s="32">
        <v>46266</v>
      </c>
      <c r="F289" s="34">
        <v>2105</v>
      </c>
      <c r="G289" s="3" t="s">
        <v>25</v>
      </c>
      <c r="H289" s="3">
        <v>719</v>
      </c>
      <c r="I289" s="3">
        <v>2981</v>
      </c>
      <c r="J289" s="3">
        <v>27</v>
      </c>
      <c r="K289" s="3">
        <v>128</v>
      </c>
      <c r="L289" s="3">
        <f t="shared" si="5"/>
        <v>2853</v>
      </c>
    </row>
    <row r="290" spans="1:12" x14ac:dyDescent="0.3">
      <c r="A290" s="31">
        <v>46266</v>
      </c>
      <c r="B290" s="3">
        <v>2026</v>
      </c>
      <c r="C290" s="3">
        <v>9</v>
      </c>
      <c r="D290" s="3" t="s">
        <v>15</v>
      </c>
      <c r="E290" s="32">
        <v>46266</v>
      </c>
      <c r="F290" s="34">
        <v>3501</v>
      </c>
      <c r="G290" s="3" t="s">
        <v>26</v>
      </c>
      <c r="H290" s="3">
        <v>249</v>
      </c>
      <c r="I290" s="3">
        <v>1797</v>
      </c>
      <c r="J290" s="3">
        <v>1</v>
      </c>
      <c r="K290" s="3">
        <v>8</v>
      </c>
      <c r="L290" s="3">
        <f t="shared" si="5"/>
        <v>1789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69692-33D8-4259-ABFA-DD5036827451}">
  <dimension ref="A1:D6"/>
  <sheetViews>
    <sheetView workbookViewId="0">
      <selection activeCell="A10" sqref="A10"/>
    </sheetView>
  </sheetViews>
  <sheetFormatPr defaultRowHeight="14.4" x14ac:dyDescent="0.3"/>
  <sheetData>
    <row r="1" spans="1:4" x14ac:dyDescent="0.3">
      <c r="A1" t="s">
        <v>72</v>
      </c>
      <c r="B1" t="s">
        <v>98</v>
      </c>
      <c r="C1" t="s">
        <v>99</v>
      </c>
      <c r="D1" t="s">
        <v>73</v>
      </c>
    </row>
    <row r="2" spans="1:4" x14ac:dyDescent="0.3">
      <c r="A2" t="s">
        <v>92</v>
      </c>
      <c r="D2">
        <v>702</v>
      </c>
    </row>
    <row r="3" spans="1:4" x14ac:dyDescent="0.3">
      <c r="A3" t="s">
        <v>107</v>
      </c>
      <c r="D3">
        <v>714</v>
      </c>
    </row>
    <row r="4" spans="1:4" x14ac:dyDescent="0.3">
      <c r="A4" t="s">
        <v>93</v>
      </c>
      <c r="D4">
        <v>786</v>
      </c>
    </row>
    <row r="5" spans="1:4" x14ac:dyDescent="0.3">
      <c r="A5" t="s">
        <v>68</v>
      </c>
      <c r="D5">
        <v>1179</v>
      </c>
    </row>
    <row r="6" spans="1:4" x14ac:dyDescent="0.3">
      <c r="A6" t="s">
        <v>91</v>
      </c>
      <c r="D6">
        <v>31869</v>
      </c>
    </row>
  </sheetData>
  <sortState xmlns:xlrd2="http://schemas.microsoft.com/office/spreadsheetml/2017/richdata2" ref="A2:D6">
    <sortCondition ref="D2:D6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A0F9F-D403-4594-B1BE-0171B428124C}">
  <dimension ref="A1:D11"/>
  <sheetViews>
    <sheetView workbookViewId="0">
      <selection activeCell="A13" sqref="A13"/>
    </sheetView>
  </sheetViews>
  <sheetFormatPr defaultRowHeight="14.4" x14ac:dyDescent="0.3"/>
  <sheetData>
    <row r="1" spans="1:4" x14ac:dyDescent="0.3">
      <c r="A1" t="s">
        <v>72</v>
      </c>
      <c r="B1" t="s">
        <v>98</v>
      </c>
      <c r="C1" t="s">
        <v>99</v>
      </c>
      <c r="D1" t="s">
        <v>73</v>
      </c>
    </row>
    <row r="2" spans="1:4" x14ac:dyDescent="0.3">
      <c r="A2" t="s">
        <v>74</v>
      </c>
      <c r="D2">
        <v>7232</v>
      </c>
    </row>
    <row r="3" spans="1:4" x14ac:dyDescent="0.3">
      <c r="A3" t="s">
        <v>106</v>
      </c>
      <c r="D3">
        <v>8069</v>
      </c>
    </row>
    <row r="4" spans="1:4" x14ac:dyDescent="0.3">
      <c r="A4" t="s">
        <v>89</v>
      </c>
      <c r="D4">
        <v>8324</v>
      </c>
    </row>
    <row r="5" spans="1:4" x14ac:dyDescent="0.3">
      <c r="A5" t="s">
        <v>71</v>
      </c>
      <c r="D5">
        <v>9030</v>
      </c>
    </row>
    <row r="6" spans="1:4" x14ac:dyDescent="0.3">
      <c r="A6" t="s">
        <v>70</v>
      </c>
      <c r="D6">
        <v>12402</v>
      </c>
    </row>
    <row r="7" spans="1:4" x14ac:dyDescent="0.3">
      <c r="A7" t="s">
        <v>68</v>
      </c>
      <c r="D7">
        <v>13897</v>
      </c>
    </row>
    <row r="8" spans="1:4" x14ac:dyDescent="0.3">
      <c r="A8" t="s">
        <v>69</v>
      </c>
      <c r="D8">
        <v>14792</v>
      </c>
    </row>
    <row r="9" spans="1:4" x14ac:dyDescent="0.3">
      <c r="A9" t="s">
        <v>67</v>
      </c>
      <c r="D9">
        <v>32992</v>
      </c>
    </row>
    <row r="10" spans="1:4" x14ac:dyDescent="0.3">
      <c r="A10" t="s">
        <v>66</v>
      </c>
      <c r="D10">
        <v>37258</v>
      </c>
    </row>
    <row r="11" spans="1:4" x14ac:dyDescent="0.3">
      <c r="A11" t="s">
        <v>90</v>
      </c>
      <c r="D11">
        <v>66812</v>
      </c>
    </row>
  </sheetData>
  <sortState xmlns:xlrd2="http://schemas.microsoft.com/office/spreadsheetml/2017/richdata2" ref="A16:B25">
    <sortCondition ref="B16:B25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999AF-A454-48D6-B99D-D23703A97F24}">
  <dimension ref="A1:R57"/>
  <sheetViews>
    <sheetView topLeftCell="A25" workbookViewId="0">
      <selection activeCell="C36" sqref="C36"/>
    </sheetView>
  </sheetViews>
  <sheetFormatPr defaultRowHeight="14.4" x14ac:dyDescent="0.3"/>
  <cols>
    <col min="3" max="3" width="12.5546875" customWidth="1"/>
    <col min="4" max="4" width="12.44140625" customWidth="1"/>
    <col min="5" max="5" width="12.6640625" customWidth="1"/>
    <col min="11" max="11" width="11.88671875" customWidth="1"/>
    <col min="12" max="12" width="12.33203125" customWidth="1"/>
    <col min="13" max="13" width="11.77734375" customWidth="1"/>
  </cols>
  <sheetData>
    <row r="1" spans="1:18" x14ac:dyDescent="0.3">
      <c r="B1" s="20" t="s">
        <v>20</v>
      </c>
    </row>
    <row r="2" spans="1:18" x14ac:dyDescent="0.3">
      <c r="B2" t="s">
        <v>21</v>
      </c>
      <c r="C2" s="15" t="s">
        <v>37</v>
      </c>
      <c r="D2" s="16" t="s">
        <v>39</v>
      </c>
      <c r="E2" s="17" t="s">
        <v>38</v>
      </c>
      <c r="J2" t="s">
        <v>22</v>
      </c>
    </row>
    <row r="3" spans="1:18" x14ac:dyDescent="0.3">
      <c r="A3" t="s">
        <v>3</v>
      </c>
      <c r="B3" t="s">
        <v>4</v>
      </c>
      <c r="C3" s="9">
        <v>46266</v>
      </c>
      <c r="D3" s="13">
        <v>46235</v>
      </c>
      <c r="E3" s="10">
        <v>45901</v>
      </c>
      <c r="F3" t="s">
        <v>78</v>
      </c>
      <c r="G3" t="s">
        <v>79</v>
      </c>
      <c r="I3" t="s">
        <v>3</v>
      </c>
      <c r="J3" t="s">
        <v>4</v>
      </c>
      <c r="K3" s="7">
        <f>C$3</f>
        <v>46266</v>
      </c>
      <c r="L3" s="7">
        <f>D$3</f>
        <v>46235</v>
      </c>
      <c r="M3" s="7">
        <f>E$3</f>
        <v>45901</v>
      </c>
      <c r="N3" t="str">
        <f>F$3</f>
        <v>26/26</v>
      </c>
      <c r="O3" t="str">
        <f>G$3</f>
        <v>26/25</v>
      </c>
      <c r="R3" t="s">
        <v>46</v>
      </c>
    </row>
    <row r="4" spans="1:18" x14ac:dyDescent="0.3">
      <c r="A4">
        <v>401</v>
      </c>
      <c r="B4" t="s">
        <v>7</v>
      </c>
      <c r="C4" s="4">
        <f t="array" ref="C4">INDEX(monthly!$H$2:$H$5025,
MATCH(1,
(monthly!$E$2:$E$5025=$C$3)*
(monthly!$F$2:$F$5025=$A4),
0))</f>
        <v>2577</v>
      </c>
      <c r="D4">
        <f t="array" ref="D4">INDEX(monthly!$H$2:$H$5025,
MATCH(1,
(monthly!$E$2:$E$5025=$D$3)*
(monthly!$F$2:$F$5025=$A4),
0))</f>
        <v>1798</v>
      </c>
      <c r="E4" s="4">
        <f t="array" ref="E4">INDEX(monthly!$H$2:$H$5025,
MATCH(1,
(monthly!$E$2:$E$5025=$E$3)*
(monthly!$F$2:$F$5025=$A4),
0))</f>
        <v>2079</v>
      </c>
      <c r="F4" s="5">
        <f>IFERROR((C4/D4)-1,0)</f>
        <v>0.43325917686318127</v>
      </c>
      <c r="G4" s="5">
        <f>IFERROR((C4/E4)-1,0)</f>
        <v>0.23953823953823949</v>
      </c>
      <c r="I4">
        <v>401</v>
      </c>
      <c r="J4" t="s">
        <v>7</v>
      </c>
      <c r="K4" s="4">
        <f t="array" ref="K4">INDEX(monthly!$I$2:$I$5025,
MATCH(1,
(monthly!$E$2:$E$5025=$K$3)*
(monthly!$F$2:$F$5025=$I4),
0))</f>
        <v>2057</v>
      </c>
      <c r="L4">
        <f t="array" ref="L4">INDEX(monthly!$I$2:$I$5025,
MATCH(1,
(monthly!$E$2:$E$5025=$L$3)*
(monthly!$F$2:$F$5025=$I4),
0))</f>
        <v>1510</v>
      </c>
      <c r="M4" s="4">
        <f t="array" ref="M4">INDEX(monthly!$I$2:$I$5025,
MATCH(1,
(monthly!$E$2:$E$5025=$M$3)*
(monthly!$F$2:$F$5025=$I4),
0))</f>
        <v>1709</v>
      </c>
      <c r="N4" s="5">
        <f>IFERROR((K4/L4)-1,0)</f>
        <v>0.36225165562913908</v>
      </c>
      <c r="O4" s="5">
        <f>IFERROR((K4/M4)-1,0)</f>
        <v>0.2036278525453481</v>
      </c>
      <c r="Q4" t="s">
        <v>7</v>
      </c>
      <c r="R4" s="5">
        <f>K4/$K$12*100%</f>
        <v>6.5167115476001902E-2</v>
      </c>
    </row>
    <row r="5" spans="1:18" x14ac:dyDescent="0.3">
      <c r="A5">
        <v>402</v>
      </c>
      <c r="B5" t="s">
        <v>8</v>
      </c>
      <c r="C5" s="4">
        <f t="array" ref="C5">INDEX(monthly!$H$2:$H$5025,
MATCH(1,
(monthly!$E$2:$E$5025=$C$3)*
(monthly!$F$2:$F$5025=$A5),
0))</f>
        <v>3391</v>
      </c>
      <c r="D5">
        <f t="array" ref="D5">INDEX(monthly!$H$2:$H$5025,
MATCH(1,
(monthly!$E$2:$E$5025=$D$3)*
(monthly!$F$2:$F$5025=$A5),
0))</f>
        <v>2761</v>
      </c>
      <c r="E5" s="4">
        <f t="array" ref="E5">INDEX(monthly!$H$2:$H$5025,
MATCH(1,
(monthly!$E$2:$E$5025=$E$3)*
(monthly!$F$2:$F$5025=$A5),
0))</f>
        <v>1816</v>
      </c>
      <c r="F5" s="5">
        <f t="shared" ref="F5:F11" si="0">IFERROR((C5/D5)-1,0)</f>
        <v>0.22817819630568636</v>
      </c>
      <c r="G5" s="5">
        <f t="shared" ref="G5:G11" si="1">IFERROR((C5/E5)-1,0)</f>
        <v>0.86729074889867852</v>
      </c>
      <c r="I5">
        <v>402</v>
      </c>
      <c r="J5" t="s">
        <v>8</v>
      </c>
      <c r="K5" s="4">
        <f t="array" ref="K5">INDEX(monthly!$I$2:$I$5025,
MATCH(1,
(monthly!$E$2:$E$5025=$K$3)*
(monthly!$F$2:$F$5025=$I5),
0))</f>
        <v>9842</v>
      </c>
      <c r="L5">
        <f t="array" ref="L5">INDEX(monthly!$I$2:$I$5025,
MATCH(1,
(monthly!$E$2:$E$5025=$L$3)*
(monthly!$F$2:$F$5025=$I5),
0))</f>
        <v>7759</v>
      </c>
      <c r="M5" s="4">
        <f t="array" ref="M5">INDEX(monthly!$I$2:$I$5025,
MATCH(1,
(monthly!$E$2:$E$5025=$M$3)*
(monthly!$F$2:$F$5025=$I5),
0))</f>
        <v>4560</v>
      </c>
      <c r="N5" s="5">
        <f t="shared" ref="N5:N11" si="2">IFERROR((K5/L5)-1,0)</f>
        <v>0.26846243072560894</v>
      </c>
      <c r="O5" s="5">
        <f t="shared" ref="O5:O11" si="3">IFERROR((K5/M5)-1,0)</f>
        <v>1.1583333333333332</v>
      </c>
      <c r="Q5" t="s">
        <v>8</v>
      </c>
      <c r="R5" s="5">
        <f t="shared" ref="R5:R11" si="4">K5/$K$12*100%</f>
        <v>0.31180104546174559</v>
      </c>
    </row>
    <row r="6" spans="1:18" x14ac:dyDescent="0.3">
      <c r="A6">
        <v>403</v>
      </c>
      <c r="B6" t="s">
        <v>23</v>
      </c>
      <c r="C6" s="4">
        <f t="array" ref="C6">INDEX(monthly!$H$2:$H$5025,
MATCH(1,
(monthly!$E$2:$E$5025=$C$3)*
(monthly!$F$2:$F$5025=$A6),
0))</f>
        <v>647</v>
      </c>
      <c r="D6">
        <f t="array" ref="D6">INDEX(monthly!$H$2:$H$5025,
MATCH(1,
(monthly!$E$2:$E$5025=$D$3)*
(monthly!$F$2:$F$5025=$A6),
0))</f>
        <v>734</v>
      </c>
      <c r="E6" s="4">
        <f t="array" ref="E6">INDEX(monthly!$H$2:$H$5025,
MATCH(1,
(monthly!$E$2:$E$5025=$E$3)*
(monthly!$F$2:$F$5025=$A6),
0))</f>
        <v>580</v>
      </c>
      <c r="F6" s="5">
        <f t="shared" si="0"/>
        <v>-0.11852861035422346</v>
      </c>
      <c r="G6" s="5">
        <f t="shared" si="1"/>
        <v>0.11551724137931041</v>
      </c>
      <c r="I6">
        <v>403</v>
      </c>
      <c r="J6" t="s">
        <v>23</v>
      </c>
      <c r="K6" s="4">
        <f t="array" ref="K6">INDEX(monthly!$I$2:$I$5025,
MATCH(1,
(monthly!$E$2:$E$5025=$K$3)*
(monthly!$F$2:$F$5025=$I6),
0))</f>
        <v>929</v>
      </c>
      <c r="L6">
        <f t="array" ref="L6">INDEX(monthly!$I$2:$I$5025,
MATCH(1,
(monthly!$E$2:$E$5025=$L$3)*
(monthly!$F$2:$F$5025=$I6),
0))</f>
        <v>1073</v>
      </c>
      <c r="M6" s="4">
        <f t="array" ref="M6">INDEX(monthly!$I$2:$I$5025,
MATCH(1,
(monthly!$E$2:$E$5025=$M$3)*
(monthly!$F$2:$F$5025=$I6),
0))</f>
        <v>936</v>
      </c>
      <c r="N6" s="5">
        <f t="shared" si="2"/>
        <v>-0.1342031686859273</v>
      </c>
      <c r="O6" s="5">
        <f t="shared" si="3"/>
        <v>-7.4786324786324521E-3</v>
      </c>
      <c r="Q6" t="s">
        <v>24</v>
      </c>
      <c r="R6" s="5">
        <f t="shared" si="4"/>
        <v>2.9431332171709172E-2</v>
      </c>
    </row>
    <row r="7" spans="1:18" x14ac:dyDescent="0.3">
      <c r="A7">
        <v>404</v>
      </c>
      <c r="B7" t="s">
        <v>9</v>
      </c>
      <c r="C7" s="4">
        <f t="array" ref="C7">INDEX(monthly!$H$2:$H$5025,
MATCH(1,
(monthly!$E$2:$E$5025=$C$3)*
(monthly!$F$2:$F$5025=$A7),
0))</f>
        <v>1576</v>
      </c>
      <c r="D7">
        <f t="array" ref="D7">INDEX(monthly!$H$2:$H$5025,
MATCH(1,
(monthly!$E$2:$E$5025=$D$3)*
(monthly!$F$2:$F$5025=$A7),
0))</f>
        <v>1359</v>
      </c>
      <c r="E7" s="4">
        <f t="array" ref="E7">INDEX(monthly!$H$2:$H$5025,
MATCH(1,
(monthly!$E$2:$E$5025=$E$3)*
(monthly!$F$2:$F$5025=$A7),
0))</f>
        <v>1051</v>
      </c>
      <c r="F7" s="6">
        <f t="shared" si="0"/>
        <v>0.15967623252391472</v>
      </c>
      <c r="G7" s="5">
        <f t="shared" si="1"/>
        <v>0.49952426260704086</v>
      </c>
      <c r="I7">
        <v>404</v>
      </c>
      <c r="J7" t="s">
        <v>9</v>
      </c>
      <c r="K7" s="4">
        <f t="array" ref="K7">INDEX(monthly!$I$2:$I$5025,
MATCH(1,
(monthly!$E$2:$E$5025=$K$3)*
(monthly!$F$2:$F$5025=$I7),
0))</f>
        <v>2607</v>
      </c>
      <c r="L7">
        <f t="array" ref="L7">INDEX(monthly!$I$2:$I$5025,
MATCH(1,
(monthly!$E$2:$E$5025=$L$3)*
(monthly!$F$2:$F$5025=$I7),
0))</f>
        <v>2241</v>
      </c>
      <c r="M7" s="4">
        <f t="array" ref="M7">INDEX(monthly!$I$2:$I$5025,
MATCH(1,
(monthly!$E$2:$E$5025=$M$3)*
(monthly!$F$2:$F$5025=$I7),
0))</f>
        <v>1136</v>
      </c>
      <c r="N7" s="5">
        <f t="shared" si="2"/>
        <v>0.16331994645247661</v>
      </c>
      <c r="O7" s="5">
        <f t="shared" si="3"/>
        <v>1.294894366197183</v>
      </c>
      <c r="Q7" t="s">
        <v>9</v>
      </c>
      <c r="R7" s="5">
        <f t="shared" si="4"/>
        <v>8.2591477902740379E-2</v>
      </c>
    </row>
    <row r="8" spans="1:18" x14ac:dyDescent="0.3">
      <c r="A8">
        <v>405</v>
      </c>
      <c r="B8" t="s">
        <v>10</v>
      </c>
      <c r="C8" s="4">
        <f t="array" ref="C8">INDEX(monthly!$H$2:$H$5025,
MATCH(1,
(monthly!$E$2:$E$5025=$C$3)*
(monthly!$F$2:$F$5025=$A8),
0))</f>
        <v>782</v>
      </c>
      <c r="D8">
        <f t="array" ref="D8">INDEX(monthly!$H$2:$H$5025,
MATCH(1,
(monthly!$E$2:$E$5025=$D$3)*
(monthly!$F$2:$F$5025=$A8),
0))</f>
        <v>622</v>
      </c>
      <c r="E8" s="4">
        <f t="array" ref="E8">INDEX(monthly!$H$2:$H$5025,
MATCH(1,
(monthly!$E$2:$E$5025=$E$3)*
(monthly!$F$2:$F$5025=$A8),
0))</f>
        <v>916</v>
      </c>
      <c r="F8" s="5">
        <f t="shared" si="0"/>
        <v>0.25723472668810299</v>
      </c>
      <c r="G8" s="5">
        <f t="shared" si="1"/>
        <v>-0.14628820960698685</v>
      </c>
      <c r="I8">
        <v>405</v>
      </c>
      <c r="J8" t="s">
        <v>10</v>
      </c>
      <c r="K8" s="4">
        <f t="array" ref="K8">INDEX(monthly!$I$2:$I$5025,
MATCH(1,
(monthly!$E$2:$E$5025=$K$3)*
(monthly!$F$2:$F$5025=$I8),
0))</f>
        <v>4102</v>
      </c>
      <c r="L8">
        <f t="array" ref="L8">INDEX(monthly!$I$2:$I$5025,
MATCH(1,
(monthly!$E$2:$E$5025=$L$3)*
(monthly!$F$2:$F$5025=$I8),
0))</f>
        <v>3270</v>
      </c>
      <c r="M8" s="4">
        <f t="array" ref="M8">INDEX(monthly!$I$2:$I$5025,
MATCH(1,
(monthly!$E$2:$E$5025=$M$3)*
(monthly!$F$2:$F$5025=$I8),
0))</f>
        <v>6855</v>
      </c>
      <c r="N8" s="5">
        <f t="shared" si="2"/>
        <v>0.25443425076452608</v>
      </c>
      <c r="O8" s="5">
        <f t="shared" si="3"/>
        <v>-0.40160466812545592</v>
      </c>
      <c r="Q8" t="s">
        <v>10</v>
      </c>
      <c r="R8" s="5">
        <f t="shared" si="4"/>
        <v>0.12995406304451132</v>
      </c>
    </row>
    <row r="9" spans="1:18" x14ac:dyDescent="0.3">
      <c r="A9">
        <v>406</v>
      </c>
      <c r="B9" t="s">
        <v>11</v>
      </c>
      <c r="C9" s="4">
        <f t="array" ref="C9">INDEX(monthly!$H$2:$H$5025,
MATCH(1,
(monthly!$E$2:$E$5025=$C$3)*
(monthly!$F$2:$F$5025=$A9),
0))</f>
        <v>1512</v>
      </c>
      <c r="D9">
        <f t="array" ref="D9">INDEX(monthly!$H$2:$H$5025,
MATCH(1,
(monthly!$E$2:$E$5025=$D$3)*
(monthly!$F$2:$F$5025=$A9),
0))</f>
        <v>1218</v>
      </c>
      <c r="E9" s="4">
        <f t="array" ref="E9">INDEX(monthly!$H$2:$H$5025,
MATCH(1,
(monthly!$E$2:$E$5025=$E$3)*
(monthly!$F$2:$F$5025=$A9),
0))</f>
        <v>1214</v>
      </c>
      <c r="F9" s="5">
        <f t="shared" si="0"/>
        <v>0.24137931034482762</v>
      </c>
      <c r="G9" s="5">
        <f t="shared" si="1"/>
        <v>0.2454695222405272</v>
      </c>
      <c r="I9">
        <v>406</v>
      </c>
      <c r="J9" t="s">
        <v>11</v>
      </c>
      <c r="K9" s="4">
        <f t="array" ref="K9">INDEX(monthly!$I$2:$I$5025,
MATCH(1,
(monthly!$E$2:$E$5025=$K$3)*
(monthly!$F$2:$F$5025=$I9),
0))</f>
        <v>7250</v>
      </c>
      <c r="L9">
        <f t="array" ref="L9">INDEX(monthly!$I$2:$I$5025,
MATCH(1,
(monthly!$E$2:$E$5025=$L$3)*
(monthly!$F$2:$F$5025=$I9),
0))</f>
        <v>5246</v>
      </c>
      <c r="M9" s="4">
        <f t="array" ref="M9">INDEX(monthly!$I$2:$I$5025,
MATCH(1,
(monthly!$E$2:$E$5025=$M$3)*
(monthly!$F$2:$F$5025=$I9),
0))</f>
        <v>5465</v>
      </c>
      <c r="N9" s="5">
        <f t="shared" si="2"/>
        <v>0.38200533739992371</v>
      </c>
      <c r="O9" s="5">
        <f t="shared" si="3"/>
        <v>0.32662397072278138</v>
      </c>
      <c r="Q9" t="s">
        <v>11</v>
      </c>
      <c r="R9" s="5">
        <f t="shared" si="4"/>
        <v>0.22968477744337082</v>
      </c>
    </row>
    <row r="10" spans="1:18" x14ac:dyDescent="0.3">
      <c r="A10">
        <v>2105</v>
      </c>
      <c r="B10" t="s">
        <v>25</v>
      </c>
      <c r="C10" s="4">
        <f t="array" ref="C10">INDEX(monthly!$H$2:$H$5025,
MATCH(1,
(monthly!$E$2:$E$5025=$C$3)*
(monthly!$F$2:$F$5025=$A10),
0))</f>
        <v>719</v>
      </c>
      <c r="D10">
        <f t="array" ref="D10">INDEX(monthly!$H$2:$H$5025,
MATCH(1,
(monthly!$E$2:$E$5025=$D$3)*
(monthly!$F$2:$F$5025=$A10),
0))</f>
        <v>2170</v>
      </c>
      <c r="E10" s="4">
        <f t="array" ref="E10">INDEX(monthly!$H$2:$H$5025,
MATCH(1,
(monthly!$E$2:$E$5025=$E$3)*
(monthly!$F$2:$F$5025=$A10),
0))</f>
        <v>690</v>
      </c>
      <c r="F10" s="5">
        <f t="shared" si="0"/>
        <v>-0.66866359447004609</v>
      </c>
      <c r="G10" s="6">
        <f t="shared" si="1"/>
        <v>4.202898550724643E-2</v>
      </c>
      <c r="I10">
        <v>2105</v>
      </c>
      <c r="J10" t="s">
        <v>25</v>
      </c>
      <c r="K10" s="4">
        <f t="array" ref="K10">INDEX(monthly!$I$2:$I$5025,
MATCH(1,
(monthly!$E$2:$E$5025=$K$3)*
(monthly!$F$2:$F$5025=$I10),
0))</f>
        <v>2981</v>
      </c>
      <c r="L10">
        <f t="array" ref="L10">INDEX(monthly!$I$2:$I$5025,
MATCH(1,
(monthly!$E$2:$E$5025=$L$3)*
(monthly!$F$2:$F$5025=$I10),
0))</f>
        <v>7963</v>
      </c>
      <c r="M10" s="4">
        <f t="array" ref="M10">INDEX(monthly!$I$2:$I$5025,
MATCH(1,
(monthly!$E$2:$E$5025=$M$3)*
(monthly!$F$2:$F$5025=$I10),
0))</f>
        <v>2601</v>
      </c>
      <c r="N10" s="5">
        <f t="shared" si="2"/>
        <v>-0.62564360165766675</v>
      </c>
      <c r="O10" s="5">
        <f t="shared" si="3"/>
        <v>0.14609765474817382</v>
      </c>
      <c r="Q10" t="s">
        <v>25</v>
      </c>
      <c r="R10" s="5">
        <f t="shared" si="4"/>
        <v>9.4440044352922539E-2</v>
      </c>
    </row>
    <row r="11" spans="1:18" x14ac:dyDescent="0.3">
      <c r="A11">
        <v>3501</v>
      </c>
      <c r="B11" t="s">
        <v>26</v>
      </c>
      <c r="C11" s="4">
        <f t="array" ref="C11">INDEX(monthly!$H$2:$H$5025,
MATCH(1,
(monthly!$E$2:$E$5025=$C$3)*
(monthly!$F$2:$F$5025=$A11),
0))</f>
        <v>249</v>
      </c>
      <c r="D11">
        <f t="array" ref="D11">INDEX(monthly!$H$2:$H$5025,
MATCH(1,
(monthly!$E$2:$E$5025=$D$3)*
(monthly!$F$2:$F$5025=$A11),
0))</f>
        <v>207</v>
      </c>
      <c r="E11" s="4">
        <f t="array" ref="E11">INDEX(monthly!$H$2:$H$5025,
MATCH(1,
(monthly!$E$2:$E$5025=$E$3)*
(monthly!$F$2:$F$5025=$A11),
0))</f>
        <v>307</v>
      </c>
      <c r="F11" s="5">
        <f t="shared" si="0"/>
        <v>0.20289855072463769</v>
      </c>
      <c r="G11" s="6">
        <f t="shared" si="1"/>
        <v>-0.18892508143322473</v>
      </c>
      <c r="I11">
        <v>3501</v>
      </c>
      <c r="J11" t="s">
        <v>26</v>
      </c>
      <c r="K11" s="4">
        <f t="array" ref="K11">INDEX(monthly!$I$2:$I$5025,
MATCH(1,
(monthly!$E$2:$E$5025=$K$3)*
(monthly!$F$2:$F$5025=$I11),
0))</f>
        <v>1797</v>
      </c>
      <c r="L11">
        <f t="array" ref="L11">INDEX(monthly!$I$2:$I$5025,
MATCH(1,
(monthly!$E$2:$E$5025=$L$3)*
(monthly!$F$2:$F$5025=$I11),
0))</f>
        <v>1456</v>
      </c>
      <c r="M11" s="4">
        <f t="array" ref="M11">INDEX(monthly!$I$2:$I$5025,
MATCH(1,
(monthly!$E$2:$E$5025=$M$3)*
(monthly!$F$2:$F$5025=$I11),
0))</f>
        <v>1873</v>
      </c>
      <c r="N11" s="5">
        <f t="shared" si="2"/>
        <v>0.23420329670329676</v>
      </c>
      <c r="O11" s="5">
        <f t="shared" si="3"/>
        <v>-4.0576615056059806E-2</v>
      </c>
      <c r="Q11" t="s">
        <v>26</v>
      </c>
      <c r="R11" s="5">
        <f t="shared" si="4"/>
        <v>5.6930144146998256E-2</v>
      </c>
    </row>
    <row r="12" spans="1:18" x14ac:dyDescent="0.3">
      <c r="C12" s="4">
        <f>SUM(C4:C11)</f>
        <v>11453</v>
      </c>
      <c r="D12" s="4">
        <f>SUM(D4:D11)</f>
        <v>10869</v>
      </c>
      <c r="E12" s="4">
        <f>SUM(E4:E11)</f>
        <v>8653</v>
      </c>
      <c r="F12" s="5">
        <f>IFERROR((C12/D12)-1,0)</f>
        <v>5.3730794001288107E-2</v>
      </c>
      <c r="G12" s="5">
        <f>IFERROR((C12/E12)-1,0)</f>
        <v>0.32358719519241874</v>
      </c>
      <c r="K12" s="4">
        <f>SUM(K4:K11)</f>
        <v>31565</v>
      </c>
      <c r="L12" s="4">
        <f>SUM(L4:L11)</f>
        <v>30518</v>
      </c>
      <c r="M12" s="4">
        <f>SUM(M4:M11)</f>
        <v>25135</v>
      </c>
      <c r="N12" s="5">
        <f>IFERROR((K12/L12)-1,0)</f>
        <v>3.4307621731437088E-2</v>
      </c>
      <c r="O12" s="5">
        <f>IFERROR((K12/M12)-1,0)</f>
        <v>0.25581857966978316</v>
      </c>
      <c r="R12" s="5">
        <f>SUM(R4:R11)</f>
        <v>0.99999999999999989</v>
      </c>
    </row>
    <row r="13" spans="1:18" x14ac:dyDescent="0.3">
      <c r="C13" s="4"/>
      <c r="D13" s="4"/>
      <c r="E13" s="4"/>
      <c r="F13" s="5"/>
      <c r="G13" s="5"/>
      <c r="K13" s="4"/>
      <c r="L13" s="4"/>
      <c r="M13" s="4"/>
      <c r="N13" s="5"/>
      <c r="O13" s="5"/>
      <c r="R13" s="5"/>
    </row>
    <row r="14" spans="1:18" x14ac:dyDescent="0.3">
      <c r="B14" s="24"/>
      <c r="E14" s="4"/>
      <c r="F14" s="5"/>
      <c r="G14" s="5"/>
      <c r="J14" s="24"/>
      <c r="M14" s="4"/>
      <c r="N14" s="5"/>
      <c r="O14" s="5"/>
    </row>
    <row r="15" spans="1:18" x14ac:dyDescent="0.3">
      <c r="B15" t="s">
        <v>27</v>
      </c>
      <c r="J15" t="s">
        <v>27</v>
      </c>
    </row>
    <row r="16" spans="1:18" x14ac:dyDescent="0.3">
      <c r="B16" t="s">
        <v>21</v>
      </c>
      <c r="C16" s="15" t="s">
        <v>37</v>
      </c>
      <c r="D16" s="16" t="s">
        <v>39</v>
      </c>
      <c r="E16" s="17" t="s">
        <v>38</v>
      </c>
      <c r="J16" t="s">
        <v>22</v>
      </c>
    </row>
    <row r="17" spans="1:18" x14ac:dyDescent="0.3">
      <c r="A17" t="s">
        <v>3</v>
      </c>
      <c r="B17" t="s">
        <v>4</v>
      </c>
      <c r="C17" s="11" t="s">
        <v>115</v>
      </c>
      <c r="D17" s="12" t="s">
        <v>114</v>
      </c>
      <c r="E17" s="14" t="s">
        <v>29</v>
      </c>
      <c r="F17" t="str">
        <f>G$3</f>
        <v>26/25</v>
      </c>
      <c r="H17" s="37" t="s">
        <v>77</v>
      </c>
      <c r="I17" t="s">
        <v>3</v>
      </c>
      <c r="J17" t="s">
        <v>4</v>
      </c>
      <c r="K17" t="str">
        <f>C$17</f>
        <v>Січ.-вер. 2026</v>
      </c>
      <c r="L17" t="str">
        <f>D$17</f>
        <v>Січ.-сер. 2026</v>
      </c>
      <c r="M17" t="str">
        <f>E$17</f>
        <v>Січ.-вер. 2025</v>
      </c>
      <c r="N17" t="str">
        <f>G$3</f>
        <v>26/25</v>
      </c>
      <c r="P17" t="s">
        <v>77</v>
      </c>
    </row>
    <row r="18" spans="1:18" x14ac:dyDescent="0.3">
      <c r="A18">
        <v>401</v>
      </c>
      <c r="B18" t="s">
        <v>7</v>
      </c>
      <c r="C18" s="4">
        <f t="array" ref="C18">INDEX(period!$H$2:$H$5033,
MATCH(1,
(period!$E$2:$E$5033=$C$17)*
(period!$F$2:$F$5033=$A18),
0))</f>
        <v>15289</v>
      </c>
      <c r="D18">
        <f t="array" ref="D18">INDEX(period!$H$2:$H$5033,
MATCH(1,
(period!$E$2:$E$5033=$D$17)*
(period!$F$2:$F$5033=$A18),
0))</f>
        <v>12712</v>
      </c>
      <c r="E18">
        <f t="array" ref="E18">INDEX(period!$H$2:$H$5033,
MATCH(1,
(period!$E$2:$E$5033=$E$17)*
(period!$F$2:$F$5033=$A18),
0))</f>
        <v>14775</v>
      </c>
      <c r="F18" s="5">
        <f t="shared" ref="F18:F26" si="5">(C18/E18)-1</f>
        <v>3.4788494077834242E-2</v>
      </c>
      <c r="H18" s="4">
        <f t="shared" ref="H18:H25" si="6">C18-D18</f>
        <v>2577</v>
      </c>
      <c r="I18">
        <v>401</v>
      </c>
      <c r="J18" t="s">
        <v>7</v>
      </c>
      <c r="K18">
        <f t="array" ref="K18">INDEX(period!$I$2:$I$5033,
MATCH(1,
(period!$E$2:$E$5033=$K$17)*
(period!$F$2:$F$5033=$I18),
0))</f>
        <v>13222</v>
      </c>
      <c r="L18">
        <f t="array" ref="L18">INDEX(period!$I$2:$I$5033,
MATCH(1,
(period!$E$2:$E$5033=$L$17)*
(period!$F$2:$F$5033=$I18),
0))</f>
        <v>11165</v>
      </c>
      <c r="M18">
        <f t="array" ref="M18">INDEX(period!$I$2:$I$5033,
MATCH(1,
(period!$E$2:$E$5033=$M$17)*
(period!$F$2:$F$5033=$I18),
0))</f>
        <v>11882</v>
      </c>
      <c r="N18" s="5">
        <f>(K18/M18)-1</f>
        <v>0.11277562699882182</v>
      </c>
      <c r="P18">
        <f>K18-L18</f>
        <v>2057</v>
      </c>
    </row>
    <row r="19" spans="1:18" x14ac:dyDescent="0.3">
      <c r="A19">
        <v>402</v>
      </c>
      <c r="B19" t="s">
        <v>8</v>
      </c>
      <c r="C19" s="4">
        <f t="array" ref="C19">INDEX(period!$H$2:$H$5033,
MATCH(1,
(period!$E$2:$E$5033=$C$17)*
(period!$F$2:$F$5033=$A19),
0))</f>
        <v>28354</v>
      </c>
      <c r="D19">
        <f t="array" ref="D19">INDEX(period!$H$2:$H$5033,
MATCH(1,
(period!$E$2:$E$5033=$D$17)*
(period!$F$2:$F$5033=$A19),
0))</f>
        <v>24963</v>
      </c>
      <c r="E19">
        <f t="array" ref="E19">INDEX(period!$H$2:$H$5033,
MATCH(1,
(period!$E$2:$E$5033=$E$17)*
(period!$F$2:$F$5033=$A19),
0))</f>
        <v>28710</v>
      </c>
      <c r="F19" s="5">
        <f t="shared" si="5"/>
        <v>-1.239986067572274E-2</v>
      </c>
      <c r="H19" s="4">
        <f t="shared" si="6"/>
        <v>3391</v>
      </c>
      <c r="I19">
        <v>402</v>
      </c>
      <c r="J19" t="s">
        <v>8</v>
      </c>
      <c r="K19">
        <f t="array" ref="K19">INDEX(period!$I$2:$I$5033,
MATCH(1,
(period!$E$2:$E$5033=$K$17)*
(period!$F$2:$F$5033=$I19),
0))</f>
        <v>76035</v>
      </c>
      <c r="L19">
        <f t="array" ref="L19">INDEX(period!$I$2:$I$5033,
MATCH(1,
(period!$E$2:$E$5033=$L$17)*
(period!$F$2:$F$5033=$I19),
0))</f>
        <v>66193</v>
      </c>
      <c r="M19">
        <f t="array" ref="M19">INDEX(period!$I$2:$I$5033,
MATCH(1,
(period!$E$2:$E$5033=$M$17)*
(period!$F$2:$F$5033=$I19),
0))</f>
        <v>73683</v>
      </c>
      <c r="N19" s="5">
        <f t="shared" ref="N19:N26" si="7">(K19/M19)-1</f>
        <v>3.1920524408615369E-2</v>
      </c>
      <c r="P19">
        <f t="shared" ref="P19:P25" si="8">K19-L19</f>
        <v>9842</v>
      </c>
    </row>
    <row r="20" spans="1:18" x14ac:dyDescent="0.3">
      <c r="A20">
        <v>403</v>
      </c>
      <c r="B20" t="s">
        <v>23</v>
      </c>
      <c r="C20" s="4">
        <f t="array" ref="C20">INDEX(period!$H$2:$H$5033,
MATCH(1,
(period!$E$2:$E$5033=$C$17)*
(period!$F$2:$F$5033=$A20),
0))</f>
        <v>5620</v>
      </c>
      <c r="D20">
        <f t="array" ref="D20">INDEX(period!$H$2:$H$5033,
MATCH(1,
(period!$E$2:$E$5033=$D$17)*
(period!$F$2:$F$5033=$A20),
0))</f>
        <v>4973</v>
      </c>
      <c r="E20">
        <f t="array" ref="E20">INDEX(period!$H$2:$H$5033,
MATCH(1,
(period!$E$2:$E$5033=$E$17)*
(period!$F$2:$F$5033=$A20),
0))</f>
        <v>4476</v>
      </c>
      <c r="F20" s="5">
        <f t="shared" si="5"/>
        <v>0.25558534405719402</v>
      </c>
      <c r="H20" s="4">
        <f t="shared" si="6"/>
        <v>647</v>
      </c>
      <c r="I20">
        <v>403</v>
      </c>
      <c r="J20" t="s">
        <v>23</v>
      </c>
      <c r="K20">
        <f t="array" ref="K20">INDEX(period!$I$2:$I$5033,
MATCH(1,
(period!$E$2:$E$5033=$K$17)*
(period!$F$2:$F$5033=$I20),
0))</f>
        <v>8284</v>
      </c>
      <c r="L20">
        <f t="array" ref="L20">INDEX(period!$I$2:$I$5033,
MATCH(1,
(period!$E$2:$E$5033=$L$17)*
(period!$F$2:$F$5033=$I20),
0))</f>
        <v>7355</v>
      </c>
      <c r="M20">
        <f t="array" ref="M20">INDEX(period!$I$2:$I$5033,
MATCH(1,
(period!$E$2:$E$5033=$M$17)*
(period!$F$2:$F$5033=$I20),
0))</f>
        <v>6641</v>
      </c>
      <c r="N20" s="5">
        <f t="shared" si="7"/>
        <v>0.24740249962355065</v>
      </c>
      <c r="P20">
        <f t="shared" si="8"/>
        <v>929</v>
      </c>
    </row>
    <row r="21" spans="1:18" x14ac:dyDescent="0.3">
      <c r="A21">
        <v>404</v>
      </c>
      <c r="B21" t="s">
        <v>9</v>
      </c>
      <c r="C21" s="4">
        <f t="array" ref="C21">INDEX(period!$H$2:$H$5033,
MATCH(1,
(period!$E$2:$E$5033=$C$17)*
(period!$F$2:$F$5033=$A21),
0))</f>
        <v>13151</v>
      </c>
      <c r="D21">
        <f t="array" ref="D21">INDEX(period!$H$2:$H$5033,
MATCH(1,
(period!$E$2:$E$5033=$D$17)*
(period!$F$2:$F$5033=$A21),
0))</f>
        <v>11575</v>
      </c>
      <c r="E21">
        <f t="array" ref="E21">INDEX(period!$H$2:$H$5033,
MATCH(1,
(period!$E$2:$E$5033=$E$17)*
(period!$F$2:$F$5033=$A21),
0))</f>
        <v>12498</v>
      </c>
      <c r="F21" s="5">
        <f t="shared" si="5"/>
        <v>5.2248359737558037E-2</v>
      </c>
      <c r="H21" s="4">
        <f t="shared" si="6"/>
        <v>1576</v>
      </c>
      <c r="I21">
        <v>404</v>
      </c>
      <c r="J21" t="s">
        <v>9</v>
      </c>
      <c r="K21">
        <f t="array" ref="K21">INDEX(period!$I$2:$I$5033,
MATCH(1,
(period!$E$2:$E$5033=$K$17)*
(period!$F$2:$F$5033=$I21),
0))</f>
        <v>18361</v>
      </c>
      <c r="L21">
        <f t="array" ref="L21">INDEX(period!$I$2:$I$5033,
MATCH(1,
(period!$E$2:$E$5033=$L$17)*
(period!$F$2:$F$5033=$I21),
0))</f>
        <v>15754</v>
      </c>
      <c r="M21">
        <f t="array" ref="M21">INDEX(period!$I$2:$I$5033,
MATCH(1,
(period!$E$2:$E$5033=$M$17)*
(period!$F$2:$F$5033=$I21),
0))</f>
        <v>11969</v>
      </c>
      <c r="N21" s="5">
        <f t="shared" si="7"/>
        <v>0.53404628623945194</v>
      </c>
      <c r="P21">
        <f t="shared" si="8"/>
        <v>2607</v>
      </c>
    </row>
    <row r="22" spans="1:18" x14ac:dyDescent="0.3">
      <c r="A22">
        <v>405</v>
      </c>
      <c r="B22" t="s">
        <v>10</v>
      </c>
      <c r="C22" s="4">
        <f t="array" ref="C22">INDEX(period!$H$2:$H$5033,
MATCH(1,
(period!$E$2:$E$5033=$C$17)*
(period!$F$2:$F$5033=$A22),
0))</f>
        <v>6972</v>
      </c>
      <c r="D22">
        <f t="array" ref="D22">INDEX(period!$H$2:$H$5033,
MATCH(1,
(period!$E$2:$E$5033=$D$17)*
(period!$F$2:$F$5033=$A22),
0))</f>
        <v>6190</v>
      </c>
      <c r="E22">
        <f t="array" ref="E22">INDEX(period!$H$2:$H$5033,
MATCH(1,
(period!$E$2:$E$5033=$E$17)*
(period!$F$2:$F$5033=$A22),
0))</f>
        <v>12698</v>
      </c>
      <c r="F22" s="5">
        <f t="shared" si="5"/>
        <v>-0.45093715545755242</v>
      </c>
      <c r="H22" s="4">
        <f t="shared" si="6"/>
        <v>782</v>
      </c>
      <c r="I22">
        <v>405</v>
      </c>
      <c r="J22" t="s">
        <v>10</v>
      </c>
      <c r="K22">
        <f t="array" ref="K22">INDEX(period!$I$2:$I$5033,
MATCH(1,
(period!$E$2:$E$5033=$K$17)*
(period!$F$2:$F$5033=$I22),
0))</f>
        <v>38494</v>
      </c>
      <c r="L22">
        <f t="array" ref="L22">INDEX(period!$I$2:$I$5033,
MATCH(1,
(period!$E$2:$E$5033=$L$17)*
(period!$F$2:$F$5033=$I22),
0))</f>
        <v>34392</v>
      </c>
      <c r="M22">
        <f t="array" ref="M22">INDEX(period!$I$2:$I$5033,
MATCH(1,
(period!$E$2:$E$5033=$M$17)*
(period!$F$2:$F$5033=$I22),
0))</f>
        <v>91677</v>
      </c>
      <c r="N22" s="5">
        <f t="shared" si="7"/>
        <v>-0.58011278728579685</v>
      </c>
      <c r="P22">
        <f t="shared" si="8"/>
        <v>4102</v>
      </c>
    </row>
    <row r="23" spans="1:18" x14ac:dyDescent="0.3">
      <c r="A23">
        <v>406</v>
      </c>
      <c r="B23" t="s">
        <v>11</v>
      </c>
      <c r="C23" s="4">
        <f t="array" ref="C23">INDEX(period!$H$2:$H$5033,
MATCH(1,
(period!$E$2:$E$5033=$C$17)*
(period!$F$2:$F$5033=$A23),
0))</f>
        <v>10942</v>
      </c>
      <c r="D23">
        <f t="array" ref="D23">INDEX(period!$H$2:$H$5033,
MATCH(1,
(period!$E$2:$E$5033=$D$17)*
(period!$F$2:$F$5033=$A23),
0))</f>
        <v>9430</v>
      </c>
      <c r="E23">
        <f t="array" ref="E23">INDEX(period!$H$2:$H$5033,
MATCH(1,
(period!$E$2:$E$5033=$E$17)*
(period!$F$2:$F$5033=$A23),
0))</f>
        <v>10572</v>
      </c>
      <c r="F23" s="5">
        <f t="shared" si="5"/>
        <v>3.4998108210366974E-2</v>
      </c>
      <c r="H23" s="4">
        <f t="shared" si="6"/>
        <v>1512</v>
      </c>
      <c r="I23">
        <v>406</v>
      </c>
      <c r="J23" t="s">
        <v>11</v>
      </c>
      <c r="K23">
        <f t="array" ref="K23">INDEX(period!$I$2:$I$5033,
MATCH(1,
(period!$E$2:$E$5033=$K$17)*
(period!$F$2:$F$5033=$I23),
0))</f>
        <v>49916</v>
      </c>
      <c r="L23">
        <f t="array" ref="L23">INDEX(period!$I$2:$I$5033,
MATCH(1,
(period!$E$2:$E$5033=$L$17)*
(period!$F$2:$F$5033=$I23),
0))</f>
        <v>42666</v>
      </c>
      <c r="M23">
        <f t="array" ref="M23">INDEX(period!$I$2:$I$5033,
MATCH(1,
(period!$E$2:$E$5033=$M$17)*
(period!$F$2:$F$5033=$I23),
0))</f>
        <v>48275</v>
      </c>
      <c r="N23" s="5">
        <f t="shared" si="7"/>
        <v>3.3992749870533467E-2</v>
      </c>
      <c r="P23">
        <f t="shared" si="8"/>
        <v>7250</v>
      </c>
    </row>
    <row r="24" spans="1:18" x14ac:dyDescent="0.3">
      <c r="A24">
        <v>2105</v>
      </c>
      <c r="B24" t="s">
        <v>25</v>
      </c>
      <c r="C24" s="4">
        <f t="array" ref="C24">INDEX(period!$H$2:$H$5033,
MATCH(1,
(period!$E$2:$E$5033=$C$17)*
(period!$F$2:$F$5033=$A24),
0))</f>
        <v>14986</v>
      </c>
      <c r="D24">
        <f t="array" ref="D24">INDEX(period!$H$2:$H$5033,
MATCH(1,
(period!$E$2:$E$5033=$D$17)*
(period!$F$2:$F$5033=$A24),
0))</f>
        <v>14267</v>
      </c>
      <c r="E24">
        <f t="array" ref="E24">INDEX(period!$H$2:$H$5033,
MATCH(1,
(period!$E$2:$E$5033=$E$17)*
(period!$F$2:$F$5033=$A24),
0))</f>
        <v>14169</v>
      </c>
      <c r="F24" s="5">
        <f t="shared" si="5"/>
        <v>5.766109111440465E-2</v>
      </c>
      <c r="H24" s="4">
        <f t="shared" si="6"/>
        <v>719</v>
      </c>
      <c r="I24">
        <v>2105</v>
      </c>
      <c r="J24" t="s">
        <v>25</v>
      </c>
      <c r="K24">
        <f t="array" ref="K24">INDEX(period!$I$2:$I$5033,
MATCH(1,
(period!$E$2:$E$5033=$K$17)*
(period!$F$2:$F$5033=$I24),
0))</f>
        <v>55649</v>
      </c>
      <c r="L24">
        <f t="array" ref="L24">INDEX(period!$I$2:$I$5033,
MATCH(1,
(period!$E$2:$E$5033=$L$17)*
(period!$F$2:$F$5033=$I24),
0))</f>
        <v>52668</v>
      </c>
      <c r="M24">
        <f t="array" ref="M24">INDEX(period!$I$2:$I$5033,
MATCH(1,
(period!$E$2:$E$5033=$M$17)*
(period!$F$2:$F$5033=$I24),
0))</f>
        <v>52098</v>
      </c>
      <c r="N24" s="5">
        <f t="shared" si="7"/>
        <v>6.8160006142270246E-2</v>
      </c>
      <c r="P24">
        <f t="shared" si="8"/>
        <v>2981</v>
      </c>
    </row>
    <row r="25" spans="1:18" x14ac:dyDescent="0.3">
      <c r="A25">
        <v>3501</v>
      </c>
      <c r="B25" t="s">
        <v>26</v>
      </c>
      <c r="C25" s="4">
        <f t="array" ref="C25">INDEX(period!$H$2:$H$5033,
MATCH(1,
(period!$E$2:$E$5033=$C$17)*
(period!$F$2:$F$5033=$A25),
0))</f>
        <v>3061</v>
      </c>
      <c r="D25">
        <f t="array" ref="D25">INDEX(period!$H$2:$H$5033,
MATCH(1,
(period!$E$2:$E$5033=$D$17)*
(period!$F$2:$F$5033=$A25),
0))</f>
        <v>2812</v>
      </c>
      <c r="E25">
        <f t="array" ref="E25">INDEX(period!$H$2:$H$5033,
MATCH(1,
(period!$E$2:$E$5033=$E$17)*
(period!$F$2:$F$5033=$A25),
0))</f>
        <v>4255</v>
      </c>
      <c r="F25" s="5">
        <f t="shared" si="5"/>
        <v>-0.2806110458284371</v>
      </c>
      <c r="H25" s="4">
        <f t="shared" si="6"/>
        <v>249</v>
      </c>
      <c r="I25">
        <v>3501</v>
      </c>
      <c r="J25" t="s">
        <v>26</v>
      </c>
      <c r="K25">
        <f t="array" ref="K25">INDEX(period!$I$2:$I$5033,
MATCH(1,
(period!$E$2:$E$5033=$K$17)*
(period!$F$2:$F$5033=$I25),
0))</f>
        <v>20400</v>
      </c>
      <c r="L25">
        <f t="array" ref="L25">INDEX(period!$I$2:$I$5033,
MATCH(1,
(period!$E$2:$E$5033=$L$17)*
(period!$F$2:$F$5033=$I25),
0))</f>
        <v>18603</v>
      </c>
      <c r="M25">
        <f t="array" ref="M25">INDEX(period!$I$2:$I$5033,
MATCH(1,
(period!$E$2:$E$5033=$M$17)*
(period!$F$2:$F$5033=$I25),
0))</f>
        <v>26976</v>
      </c>
      <c r="N25" s="5">
        <f t="shared" si="7"/>
        <v>-0.24377224199288261</v>
      </c>
      <c r="P25">
        <f t="shared" si="8"/>
        <v>1797</v>
      </c>
      <c r="R25" s="4"/>
    </row>
    <row r="26" spans="1:18" x14ac:dyDescent="0.3">
      <c r="C26" s="4">
        <f>SUM(C18:C25)</f>
        <v>98375</v>
      </c>
      <c r="D26">
        <f>SUM(D18:D25)</f>
        <v>86922</v>
      </c>
      <c r="E26" s="4">
        <f>SUM(E18:E25)</f>
        <v>102153</v>
      </c>
      <c r="F26" s="5">
        <f t="shared" si="5"/>
        <v>-3.6983740076160232E-2</v>
      </c>
      <c r="K26" s="4">
        <f>SUM(K18:K25)</f>
        <v>280361</v>
      </c>
      <c r="L26">
        <f>SUM(L18:L25)</f>
        <v>248796</v>
      </c>
      <c r="M26" s="4">
        <f>SUM(M18:M25)</f>
        <v>323201</v>
      </c>
      <c r="N26" s="5">
        <f t="shared" si="7"/>
        <v>-0.13254909483572141</v>
      </c>
    </row>
    <row r="28" spans="1:18" x14ac:dyDescent="0.3">
      <c r="B28" s="21" t="s">
        <v>40</v>
      </c>
    </row>
    <row r="29" spans="1:18" x14ac:dyDescent="0.3">
      <c r="B29" t="s">
        <v>21</v>
      </c>
      <c r="J29" t="s">
        <v>22</v>
      </c>
    </row>
    <row r="30" spans="1:18" x14ac:dyDescent="0.3">
      <c r="A30" t="s">
        <v>3</v>
      </c>
      <c r="B30" t="s">
        <v>4</v>
      </c>
      <c r="C30" s="7">
        <f>C$3</f>
        <v>46266</v>
      </c>
      <c r="D30" s="7">
        <f>D$3</f>
        <v>46235</v>
      </c>
      <c r="E30" s="7">
        <f>E$3</f>
        <v>45901</v>
      </c>
      <c r="F30" t="str">
        <f>F$3</f>
        <v>26/26</v>
      </c>
      <c r="G30" t="str">
        <f>G$3</f>
        <v>26/25</v>
      </c>
      <c r="I30" t="s">
        <v>3</v>
      </c>
      <c r="J30" t="s">
        <v>4</v>
      </c>
      <c r="K30" s="7">
        <f>C$3</f>
        <v>46266</v>
      </c>
      <c r="L30" s="7">
        <f>D$3</f>
        <v>46235</v>
      </c>
      <c r="M30" s="7">
        <f>E$3</f>
        <v>45901</v>
      </c>
      <c r="N30" t="str">
        <f>F$3</f>
        <v>26/26</v>
      </c>
      <c r="O30" t="str">
        <f>G$3</f>
        <v>26/25</v>
      </c>
    </row>
    <row r="31" spans="1:18" x14ac:dyDescent="0.3">
      <c r="A31">
        <v>401</v>
      </c>
      <c r="B31" t="s">
        <v>7</v>
      </c>
      <c r="C31" s="4">
        <f t="array" ref="C31">INDEX(monthly!$J$2:$J$5025,
MATCH(1,
(monthly!$E$2:$E$5025=$C$30)*
(monthly!$F$2:$F$5025=$A31),
0))</f>
        <v>1277</v>
      </c>
      <c r="D31">
        <f t="array" ref="D31">INDEX(monthly!$J$2:$J$5025,
MATCH(1,
(monthly!$E$2:$E$5025=$D$30)*
(monthly!$F$2:$F$5025=$A31),
0))</f>
        <v>1445</v>
      </c>
      <c r="E31" s="4">
        <f t="array" ref="E31">INDEX(monthly!$J$2:$J$5025,
MATCH(1,
(monthly!$E$2:$E$5025=$E$30)*
(monthly!$F$2:$F$5025=$A31),
0))</f>
        <v>554</v>
      </c>
      <c r="F31" s="5">
        <f>IFERROR((C31/D31)-1,0)</f>
        <v>-0.11626297577854672</v>
      </c>
      <c r="G31" s="5">
        <f>IFERROR((C31/E31)-1,0)</f>
        <v>1.3050541516245486</v>
      </c>
      <c r="I31">
        <v>401</v>
      </c>
      <c r="J31" t="s">
        <v>7</v>
      </c>
      <c r="K31" s="4">
        <f t="array" ref="K31">INDEX(monthly!$K$2:$K$5025,
MATCH(1,
(monthly!$E$2:$E$5025=$K$30)*
(monthly!$F$2:$F$5025=$I31),
0))</f>
        <v>1456</v>
      </c>
      <c r="L31">
        <f t="array" ref="L31">INDEX(monthly!$K$2:$K$5025,
MATCH(1,
(monthly!$E$2:$E$5025=$L$30)*
(monthly!$F$2:$F$5025=$I31),
0))</f>
        <v>1644</v>
      </c>
      <c r="M31" s="4">
        <f t="array" ref="M31">INDEX(monthly!$K$2:$K$5025,
MATCH(1,
(monthly!$E$2:$E$5025=$M$30)*
(monthly!$F$2:$F$5025=$I31),
0))</f>
        <v>676</v>
      </c>
      <c r="N31" s="5">
        <f>IFERROR((K31/L31)-1,0)</f>
        <v>-0.11435523114355228</v>
      </c>
      <c r="O31" s="5">
        <f>IFERROR((K31/M31)-1,0)</f>
        <v>1.1538461538461537</v>
      </c>
    </row>
    <row r="32" spans="1:18" x14ac:dyDescent="0.3">
      <c r="A32">
        <v>402</v>
      </c>
      <c r="B32" t="s">
        <v>8</v>
      </c>
      <c r="C32" s="4">
        <f t="array" ref="C32">INDEX(monthly!$J$2:$J$5025,
MATCH(1,
(monthly!$E$2:$E$5025=$C$30)*
(monthly!$F$2:$F$5025=$A32),
0))</f>
        <v>218</v>
      </c>
      <c r="D32">
        <f t="array" ref="D32">INDEX(monthly!$J$2:$J$5025,
MATCH(1,
(monthly!$E$2:$E$5025=$D$30)*
(monthly!$F$2:$F$5025=$A32),
0))</f>
        <v>137</v>
      </c>
      <c r="E32" s="4">
        <f t="array" ref="E32">INDEX(monthly!$J$2:$J$5025,
MATCH(1,
(monthly!$E$2:$E$5025=$E$30)*
(monthly!$F$2:$F$5025=$A32),
0))</f>
        <v>266</v>
      </c>
      <c r="F32" s="5">
        <f t="shared" ref="F32:F38" si="9">IFERROR((C32/D32)-1,0)</f>
        <v>0.59124087591240881</v>
      </c>
      <c r="G32" s="5">
        <f t="shared" ref="G32:G38" si="10">IFERROR((C32/E32)-1,0)</f>
        <v>-0.18045112781954886</v>
      </c>
      <c r="I32">
        <v>402</v>
      </c>
      <c r="J32" t="s">
        <v>8</v>
      </c>
      <c r="K32" s="4">
        <f t="array" ref="K32">INDEX(monthly!$K$2:$K$5025,
MATCH(1,
(monthly!$E$2:$E$5025=$K$30)*
(monthly!$F$2:$F$5025=$I32),
0))</f>
        <v>859</v>
      </c>
      <c r="L32">
        <f t="array" ref="L32">INDEX(monthly!$K$2:$K$5025,
MATCH(1,
(monthly!$E$2:$E$5025=$L$30)*
(monthly!$F$2:$F$5025=$I32),
0))</f>
        <v>542</v>
      </c>
      <c r="M32" s="4">
        <f t="array" ref="M32">INDEX(monthly!$K$2:$K$5025,
MATCH(1,
(monthly!$E$2:$E$5025=$M$30)*
(monthly!$F$2:$F$5025=$I32),
0))</f>
        <v>1198</v>
      </c>
      <c r="N32" s="5">
        <f t="shared" ref="N32:N38" si="11">IFERROR((K32/L32)-1,0)</f>
        <v>0.58487084870848705</v>
      </c>
      <c r="O32" s="5">
        <f t="shared" ref="O32:O38" si="12">IFERROR((K32/M32)-1,0)</f>
        <v>-0.28297161936560933</v>
      </c>
    </row>
    <row r="33" spans="1:18" x14ac:dyDescent="0.3">
      <c r="A33">
        <v>403</v>
      </c>
      <c r="B33" t="s">
        <v>23</v>
      </c>
      <c r="C33" s="4">
        <f t="array" ref="C33">INDEX(monthly!$J$2:$J$5025,
MATCH(1,
(monthly!$E$2:$E$5025=$C$30)*
(monthly!$F$2:$F$5025=$A33),
0))</f>
        <v>1034</v>
      </c>
      <c r="D33">
        <f t="array" ref="D33">INDEX(monthly!$J$2:$J$5025,
MATCH(1,
(monthly!$E$2:$E$5025=$D$30)*
(monthly!$F$2:$F$5025=$A33),
0))</f>
        <v>959</v>
      </c>
      <c r="E33" s="4">
        <f t="array" ref="E33">INDEX(monthly!$J$2:$J$5025,
MATCH(1,
(monthly!$E$2:$E$5025=$E$30)*
(monthly!$F$2:$F$5025=$A33),
0))</f>
        <v>632</v>
      </c>
      <c r="F33" s="5">
        <f t="shared" si="9"/>
        <v>7.8206465067778952E-2</v>
      </c>
      <c r="G33" s="5">
        <f t="shared" si="10"/>
        <v>0.63607594936708867</v>
      </c>
      <c r="I33">
        <v>403</v>
      </c>
      <c r="J33" t="s">
        <v>23</v>
      </c>
      <c r="K33" s="4">
        <f t="array" ref="K33">INDEX(monthly!$K$2:$K$5025,
MATCH(1,
(monthly!$E$2:$E$5025=$K$30)*
(monthly!$F$2:$F$5025=$I33),
0))</f>
        <v>2211</v>
      </c>
      <c r="L33">
        <f t="array" ref="L33">INDEX(monthly!$K$2:$K$5025,
MATCH(1,
(monthly!$E$2:$E$5025=$L$30)*
(monthly!$F$2:$F$5025=$I33),
0))</f>
        <v>2182</v>
      </c>
      <c r="M33" s="4">
        <f t="array" ref="M33">INDEX(monthly!$K$2:$K$5025,
MATCH(1,
(monthly!$E$2:$E$5025=$M$30)*
(monthly!$F$2:$F$5025=$I33),
0))</f>
        <v>1435</v>
      </c>
      <c r="N33" s="5">
        <f t="shared" si="11"/>
        <v>1.3290559120073375E-2</v>
      </c>
      <c r="O33" s="5">
        <f t="shared" si="12"/>
        <v>0.54076655052264799</v>
      </c>
    </row>
    <row r="34" spans="1:18" x14ac:dyDescent="0.3">
      <c r="A34">
        <v>404</v>
      </c>
      <c r="B34" t="s">
        <v>9</v>
      </c>
      <c r="C34" s="4">
        <f t="array" ref="C34">INDEX(monthly!$J$2:$J$5025,
MATCH(1,
(monthly!$E$2:$E$5025=$C$30)*
(monthly!$F$2:$F$5025=$A34),
0))</f>
        <v>573</v>
      </c>
      <c r="D34">
        <f t="array" ref="D34">INDEX(monthly!$J$2:$J$5025,
MATCH(1,
(monthly!$E$2:$E$5025=$D$30)*
(monthly!$F$2:$F$5025=$A34),
0))</f>
        <v>849</v>
      </c>
      <c r="E34" s="4">
        <f t="array" ref="E34">INDEX(monthly!$J$2:$J$5025,
MATCH(1,
(monthly!$E$2:$E$5025=$E$30)*
(monthly!$F$2:$F$5025=$A34),
0))</f>
        <v>959</v>
      </c>
      <c r="F34" s="5">
        <f t="shared" si="9"/>
        <v>-0.32508833922261482</v>
      </c>
      <c r="G34" s="5">
        <f t="shared" si="10"/>
        <v>-0.40250260688216888</v>
      </c>
      <c r="I34">
        <v>404</v>
      </c>
      <c r="J34" t="s">
        <v>9</v>
      </c>
      <c r="K34" s="4">
        <f t="array" ref="K34">INDEX(monthly!$K$2:$K$5025,
MATCH(1,
(monthly!$E$2:$E$5025=$K$30)*
(monthly!$F$2:$F$5025=$I34),
0))</f>
        <v>1347</v>
      </c>
      <c r="L34">
        <f t="array" ref="L34">INDEX(monthly!$K$2:$K$5025,
MATCH(1,
(monthly!$E$2:$E$5025=$L$30)*
(monthly!$F$2:$F$5025=$I34),
0))</f>
        <v>1862</v>
      </c>
      <c r="M34" s="4">
        <f t="array" ref="M34">INDEX(monthly!$K$2:$K$5025,
MATCH(1,
(monthly!$E$2:$E$5025=$M$30)*
(monthly!$F$2:$F$5025=$I34),
0))</f>
        <v>1796</v>
      </c>
      <c r="N34" s="5">
        <f t="shared" si="11"/>
        <v>-0.27658431793770144</v>
      </c>
      <c r="O34" s="5">
        <f t="shared" si="12"/>
        <v>-0.25</v>
      </c>
    </row>
    <row r="35" spans="1:18" x14ac:dyDescent="0.3">
      <c r="A35">
        <v>405</v>
      </c>
      <c r="B35" t="s">
        <v>10</v>
      </c>
      <c r="C35" s="4">
        <f t="array" ref="C35">INDEX(monthly!$J$2:$J$5025,
MATCH(1,
(monthly!$E$2:$E$5025=$C$30)*
(monthly!$F$2:$F$5025=$A35),
0))</f>
        <v>199</v>
      </c>
      <c r="D35">
        <f t="array" ref="D35">INDEX(monthly!$J$2:$J$5025,
MATCH(1,
(monthly!$E$2:$E$5025=$D$30)*
(monthly!$F$2:$F$5025=$A35),
0))</f>
        <v>243</v>
      </c>
      <c r="E35" s="4">
        <f t="array" ref="E35">INDEX(monthly!$J$2:$J$5025,
MATCH(1,
(monthly!$E$2:$E$5025=$E$30)*
(monthly!$F$2:$F$5025=$A35),
0))</f>
        <v>246</v>
      </c>
      <c r="F35" s="5">
        <f t="shared" si="9"/>
        <v>-0.18106995884773658</v>
      </c>
      <c r="G35" s="5">
        <f t="shared" si="10"/>
        <v>-0.19105691056910568</v>
      </c>
      <c r="I35">
        <v>405</v>
      </c>
      <c r="J35" t="s">
        <v>10</v>
      </c>
      <c r="K35" s="4">
        <f t="array" ref="K35">INDEX(monthly!$K$2:$K$5025,
MATCH(1,
(monthly!$E$2:$E$5025=$K$30)*
(monthly!$F$2:$F$5025=$I35),
0))</f>
        <v>1157</v>
      </c>
      <c r="L35">
        <f t="array" ref="L35">INDEX(monthly!$K$2:$K$5025,
MATCH(1,
(monthly!$E$2:$E$5025=$L$30)*
(monthly!$F$2:$F$5025=$I35),
0))</f>
        <v>1495</v>
      </c>
      <c r="M35" s="4">
        <f t="array" ref="M35">INDEX(monthly!$K$2:$K$5025,
MATCH(1,
(monthly!$E$2:$E$5025=$M$30)*
(monthly!$F$2:$F$5025=$I35),
0))</f>
        <v>2326</v>
      </c>
      <c r="N35" s="5">
        <f t="shared" si="11"/>
        <v>-0.22608695652173916</v>
      </c>
      <c r="O35" s="5">
        <f t="shared" si="12"/>
        <v>-0.50257953568357694</v>
      </c>
    </row>
    <row r="36" spans="1:18" x14ac:dyDescent="0.3">
      <c r="A36">
        <v>406</v>
      </c>
      <c r="B36" t="s">
        <v>11</v>
      </c>
      <c r="C36" s="4">
        <f t="array" ref="C36">INDEX(monthly!$J$2:$J$5025,
MATCH(1,
(monthly!$E$2:$E$5025=$C$30)*
(monthly!$F$2:$F$5025=$A36),
0))</f>
        <v>4457</v>
      </c>
      <c r="D36">
        <f t="array" ref="D36">INDEX(monthly!$J$2:$J$5025,
MATCH(1,
(monthly!$E$2:$E$5025=$D$30)*
(monthly!$F$2:$F$5025=$A36),
0))</f>
        <v>4493</v>
      </c>
      <c r="E36" s="4">
        <f t="array" ref="E36">INDEX(monthly!$J$2:$J$5025,
MATCH(1,
(monthly!$E$2:$E$5025=$E$30)*
(monthly!$F$2:$F$5025=$A36),
0))</f>
        <v>3610</v>
      </c>
      <c r="F36" s="5">
        <f t="shared" si="9"/>
        <v>-8.0124638326285469E-3</v>
      </c>
      <c r="G36" s="5">
        <f t="shared" si="10"/>
        <v>0.23462603878116339</v>
      </c>
      <c r="I36">
        <v>406</v>
      </c>
      <c r="J36" t="s">
        <v>11</v>
      </c>
      <c r="K36" s="4">
        <f t="array" ref="K36">INDEX(monthly!$K$2:$K$5025,
MATCH(1,
(monthly!$E$2:$E$5025=$K$30)*
(monthly!$F$2:$F$5025=$I36),
0))</f>
        <v>26123</v>
      </c>
      <c r="L36">
        <f t="array" ref="L36">INDEX(monthly!$K$2:$K$5025,
MATCH(1,
(monthly!$E$2:$E$5025=$L$30)*
(monthly!$F$2:$F$5025=$I36),
0))</f>
        <v>25727</v>
      </c>
      <c r="M36" s="4">
        <f t="array" ref="M36">INDEX(monthly!$K$2:$K$5025,
MATCH(1,
(monthly!$E$2:$E$5025=$M$30)*
(monthly!$F$2:$F$5025=$I36),
0))</f>
        <v>24122</v>
      </c>
      <c r="N36" s="5">
        <f t="shared" si="11"/>
        <v>1.5392389318614752E-2</v>
      </c>
      <c r="O36" s="5">
        <f t="shared" si="12"/>
        <v>8.2953320620180682E-2</v>
      </c>
      <c r="Q36" s="5">
        <f>(C36/C39)*100%</f>
        <v>0.57243770870793731</v>
      </c>
    </row>
    <row r="37" spans="1:18" x14ac:dyDescent="0.3">
      <c r="A37">
        <v>2105</v>
      </c>
      <c r="B37" t="s">
        <v>25</v>
      </c>
      <c r="C37" s="4">
        <f t="array" ref="C37">INDEX(monthly!$J$2:$J$5025,
MATCH(1,
(monthly!$E$2:$E$5025=$C$30)*
(monthly!$F$2:$F$5025=$A37),
0))</f>
        <v>27</v>
      </c>
      <c r="D37">
        <f t="array" ref="D37">INDEX(monthly!$J$2:$J$5025,
MATCH(1,
(monthly!$E$2:$E$5025=$D$30)*
(monthly!$F$2:$F$5025=$A37),
0))</f>
        <v>100</v>
      </c>
      <c r="E37" s="4">
        <f t="array" ref="E37">INDEX(monthly!$J$2:$J$5025,
MATCH(1,
(monthly!$E$2:$E$5025=$E$30)*
(monthly!$F$2:$F$5025=$A37),
0))</f>
        <v>37</v>
      </c>
      <c r="F37" s="5">
        <f t="shared" si="9"/>
        <v>-0.73</v>
      </c>
      <c r="G37" s="5">
        <f t="shared" si="10"/>
        <v>-0.27027027027027029</v>
      </c>
      <c r="I37">
        <v>2105</v>
      </c>
      <c r="J37" t="s">
        <v>25</v>
      </c>
      <c r="K37" s="4">
        <f t="array" ref="K37">INDEX(monthly!$K$2:$K$5025,
MATCH(1,
(monthly!$E$2:$E$5025=$K$30)*
(monthly!$F$2:$F$5025=$I37),
0))</f>
        <v>128</v>
      </c>
      <c r="L37">
        <f t="array" ref="L37">INDEX(monthly!$K$2:$K$5025,
MATCH(1,
(monthly!$E$2:$E$5025=$L$30)*
(monthly!$F$2:$F$5025=$I37),
0))</f>
        <v>337</v>
      </c>
      <c r="M37" s="4">
        <f t="array" ref="M37">INDEX(monthly!$K$2:$K$5025,
MATCH(1,
(monthly!$E$2:$E$5025=$M$30)*
(monthly!$F$2:$F$5025=$I37),
0))</f>
        <v>184</v>
      </c>
      <c r="N37" s="5">
        <f t="shared" si="11"/>
        <v>-0.62017804154302669</v>
      </c>
      <c r="O37" s="5">
        <f t="shared" si="12"/>
        <v>-0.30434782608695654</v>
      </c>
    </row>
    <row r="38" spans="1:18" x14ac:dyDescent="0.3">
      <c r="A38">
        <v>3501</v>
      </c>
      <c r="B38" t="s">
        <v>26</v>
      </c>
      <c r="C38" s="4">
        <f t="array" ref="C38">INDEX(monthly!$J$2:$J$5025,
MATCH(1,
(monthly!$E$2:$E$5025=$C$30)*
(monthly!$F$2:$F$5025=$A38),
0))</f>
        <v>1</v>
      </c>
      <c r="D38">
        <f t="array" ref="D38">INDEX(monthly!$J$2:$J$5025,
MATCH(1,
(monthly!$E$2:$E$5025=$D$30)*
(monthly!$F$2:$F$5025=$A38),
0))</f>
        <v>10</v>
      </c>
      <c r="E38" s="4">
        <f t="array" ref="E38">INDEX(monthly!$J$2:$J$5025,
MATCH(1,
(monthly!$E$2:$E$5025=$E$30)*
(monthly!$F$2:$F$5025=$A38),
0))</f>
        <v>3</v>
      </c>
      <c r="F38" s="5">
        <f t="shared" si="9"/>
        <v>-0.9</v>
      </c>
      <c r="G38" s="5">
        <f t="shared" si="10"/>
        <v>-0.66666666666666674</v>
      </c>
      <c r="I38">
        <v>3501</v>
      </c>
      <c r="J38" t="s">
        <v>26</v>
      </c>
      <c r="K38" s="4">
        <f t="array" ref="K38">INDEX(monthly!$K$2:$K$5025,
MATCH(1,
(monthly!$E$2:$E$5025=$K$30)*
(monthly!$F$2:$F$5025=$I38),
0))</f>
        <v>8</v>
      </c>
      <c r="L38">
        <f t="array" ref="L38">INDEX(monthly!$K$2:$K$5025,
MATCH(1,
(monthly!$E$2:$E$5025=$L$30)*
(monthly!$F$2:$F$5025=$I38),
0))</f>
        <v>70</v>
      </c>
      <c r="M38" s="4">
        <f t="array" ref="M38">INDEX(monthly!$K$2:$K$5025,
MATCH(1,
(monthly!$E$2:$E$5025=$M$30)*
(monthly!$F$2:$F$5025=$I38),
0))</f>
        <v>20</v>
      </c>
      <c r="N38" s="5">
        <f t="shared" si="11"/>
        <v>-0.88571428571428568</v>
      </c>
      <c r="O38" s="5">
        <f t="shared" si="12"/>
        <v>-0.6</v>
      </c>
    </row>
    <row r="39" spans="1:18" x14ac:dyDescent="0.3">
      <c r="C39" s="4">
        <f>SUM(C31:C38)</f>
        <v>7786</v>
      </c>
      <c r="D39" s="4">
        <f>SUM(D31:D38)</f>
        <v>8236</v>
      </c>
      <c r="E39" s="4">
        <f>SUM(E31:E38)</f>
        <v>6307</v>
      </c>
      <c r="F39" s="5">
        <f>IFERROR((C39/D39)-1,0)</f>
        <v>-5.4638173870811046E-2</v>
      </c>
      <c r="G39" s="5">
        <f>IFERROR((C39/E39)-1,0)</f>
        <v>0.23450134770889486</v>
      </c>
      <c r="K39" s="4">
        <f>SUM(K31:K38)</f>
        <v>33289</v>
      </c>
      <c r="L39" s="4">
        <f>SUM(L31:L38)</f>
        <v>33859</v>
      </c>
      <c r="M39" s="4">
        <f>SUM(M31:M38)</f>
        <v>31757</v>
      </c>
      <c r="N39" s="5">
        <f>IFERROR((K39/L39)-1,0)</f>
        <v>-1.6834519625505751E-2</v>
      </c>
      <c r="O39" s="5">
        <f>IFERROR((K39/M39)-1,0)</f>
        <v>4.8241332619579858E-2</v>
      </c>
    </row>
    <row r="42" spans="1:18" x14ac:dyDescent="0.3">
      <c r="B42" t="s">
        <v>27</v>
      </c>
      <c r="J42" t="s">
        <v>27</v>
      </c>
    </row>
    <row r="43" spans="1:18" x14ac:dyDescent="0.3">
      <c r="B43" t="s">
        <v>21</v>
      </c>
      <c r="J43" t="s">
        <v>22</v>
      </c>
    </row>
    <row r="44" spans="1:18" x14ac:dyDescent="0.3">
      <c r="A44" t="s">
        <v>3</v>
      </c>
      <c r="B44" t="s">
        <v>4</v>
      </c>
      <c r="C44" t="str">
        <f>C$17</f>
        <v>Січ.-вер. 2026</v>
      </c>
      <c r="D44" t="str">
        <f>D$17</f>
        <v>Січ.-сер. 2026</v>
      </c>
      <c r="E44" t="str">
        <f>E$17</f>
        <v>Січ.-вер. 2025</v>
      </c>
      <c r="F44" t="str">
        <f>G$3</f>
        <v>26/25</v>
      </c>
      <c r="H44" s="37" t="s">
        <v>77</v>
      </c>
      <c r="I44" t="s">
        <v>3</v>
      </c>
      <c r="J44" t="s">
        <v>4</v>
      </c>
      <c r="K44" t="str">
        <f>C$17</f>
        <v>Січ.-вер. 2026</v>
      </c>
      <c r="L44" t="str">
        <f>D$17</f>
        <v>Січ.-сер. 2026</v>
      </c>
      <c r="M44" t="str">
        <f>E$17</f>
        <v>Січ.-вер. 2025</v>
      </c>
      <c r="N44" t="str">
        <f>G$3</f>
        <v>26/25</v>
      </c>
      <c r="P44" t="s">
        <v>77</v>
      </c>
      <c r="R44" t="s">
        <v>47</v>
      </c>
    </row>
    <row r="45" spans="1:18" x14ac:dyDescent="0.3">
      <c r="A45">
        <v>401</v>
      </c>
      <c r="B45" t="s">
        <v>7</v>
      </c>
      <c r="C45">
        <f t="array" ref="C45">INDEX(period!$J$2:$J$5033,
MATCH(1,
(period!$E$2:$E$5033=$C$44)*
(period!$F$2:$F$5033=$A45),
0))</f>
        <v>7765</v>
      </c>
      <c r="D45">
        <f t="array" ref="D45">INDEX(period!$J$2:$J$5033,
MATCH(1,
(period!$E$2:$E$5033=$D$44)*
(period!$F$2:$F$5033=$A45),
0))</f>
        <v>6488</v>
      </c>
      <c r="E45">
        <f t="array" ref="E45">INDEX(period!$J$2:$J$5033,
MATCH(1,
(period!$E$2:$E$5033=$E$44)*
(period!$F$2:$F$5033=$A45),
0))</f>
        <v>2317</v>
      </c>
      <c r="F45" s="5">
        <f>(C45/E45)-1</f>
        <v>2.3513163573586535</v>
      </c>
      <c r="H45">
        <f t="shared" ref="H45:H53" si="13">C45-D45</f>
        <v>1277</v>
      </c>
      <c r="I45">
        <v>401</v>
      </c>
      <c r="J45" t="s">
        <v>7</v>
      </c>
      <c r="K45">
        <f t="array" ref="K45">INDEX(period!$K$2:$K$5033,
MATCH(1,
(period!$E$2:$E$5033=$K$44)*
(period!$F$2:$F$5033=$A45),
0))</f>
        <v>10174</v>
      </c>
      <c r="L45">
        <f t="array" ref="L45">INDEX(period!$K$2:$K$5033,
MATCH(1,
(period!$E$2:$E$5033=$L$44)*
(period!$F$2:$F$5033=$A45),
0))</f>
        <v>8718</v>
      </c>
      <c r="M45">
        <f t="array" ref="M45">INDEX(period!$K$2:$K$5033,
MATCH(1,
(period!$E$2:$E$5033=$M$44)*
(period!$F$2:$F$5033=$A45),
0))</f>
        <v>3644</v>
      </c>
      <c r="N45" s="5">
        <f>(K45/M45)-1</f>
        <v>1.7919868276619102</v>
      </c>
      <c r="P45">
        <f>K45-L45</f>
        <v>1456</v>
      </c>
      <c r="Q45" t="s">
        <v>7</v>
      </c>
      <c r="R45" s="5">
        <f>C45/$C$53*100%</f>
        <v>0.12134518916722664</v>
      </c>
    </row>
    <row r="46" spans="1:18" x14ac:dyDescent="0.3">
      <c r="A46">
        <v>402</v>
      </c>
      <c r="B46" t="s">
        <v>8</v>
      </c>
      <c r="C46">
        <f t="array" ref="C46">INDEX(period!$J$2:$J$5033,
MATCH(1,
(period!$E$2:$E$5033=$C$44)*
(period!$F$2:$F$5033=$A46),
0))</f>
        <v>1262</v>
      </c>
      <c r="D46">
        <f t="array" ref="D46">INDEX(period!$J$2:$J$5033,
MATCH(1,
(period!$E$2:$E$5033=$D$44)*
(period!$F$2:$F$5033=$A46),
0))</f>
        <v>1044</v>
      </c>
      <c r="E46">
        <f t="array" ref="E46">INDEX(period!$J$2:$J$5033,
MATCH(1,
(period!$E$2:$E$5033=$E$44)*
(period!$F$2:$F$5033=$A46),
0))</f>
        <v>1428</v>
      </c>
      <c r="F46" s="5">
        <f t="shared" ref="F46:F53" si="14">(C46/E46)-1</f>
        <v>-0.11624649859943981</v>
      </c>
      <c r="H46">
        <f t="shared" si="13"/>
        <v>218</v>
      </c>
      <c r="I46">
        <v>402</v>
      </c>
      <c r="J46" t="s">
        <v>8</v>
      </c>
      <c r="K46">
        <f t="array" ref="K46">INDEX(period!$K$2:$K$5033,
MATCH(1,
(period!$E$2:$E$5033=$K$44)*
(period!$F$2:$F$5033=$A46),
0))</f>
        <v>4559</v>
      </c>
      <c r="L46">
        <f t="array" ref="L46">INDEX(period!$K$2:$K$5033,
MATCH(1,
(period!$E$2:$E$5033=$L$44)*
(period!$F$2:$F$5033=$A46),
0))</f>
        <v>3700</v>
      </c>
      <c r="M46">
        <f t="array" ref="M46">INDEX(period!$K$2:$K$5033,
MATCH(1,
(period!$E$2:$E$5033=$M$44)*
(period!$F$2:$F$5033=$A46),
0))</f>
        <v>5385</v>
      </c>
      <c r="N46" s="5">
        <f t="shared" ref="N46:N53" si="15">(K46/M46)-1</f>
        <v>-0.15338904363974004</v>
      </c>
      <c r="P46">
        <f t="shared" ref="P46:P52" si="16">K46-L46</f>
        <v>859</v>
      </c>
      <c r="Q46" t="s">
        <v>8</v>
      </c>
      <c r="R46" s="5">
        <f t="shared" ref="R46:R52" si="17">C46/$C$53*100%</f>
        <v>1.9721523339219577E-2</v>
      </c>
    </row>
    <row r="47" spans="1:18" x14ac:dyDescent="0.3">
      <c r="A47">
        <v>403</v>
      </c>
      <c r="B47" t="s">
        <v>23</v>
      </c>
      <c r="C47">
        <f t="array" ref="C47">INDEX(period!$J$2:$J$5033,
MATCH(1,
(period!$E$2:$E$5033=$C$44)*
(period!$F$2:$F$5033=$A47),
0))</f>
        <v>8269</v>
      </c>
      <c r="D47">
        <f t="array" ref="D47">INDEX(period!$J$2:$J$5033,
MATCH(1,
(period!$E$2:$E$5033=$D$44)*
(period!$F$2:$F$5033=$A47),
0))</f>
        <v>7235</v>
      </c>
      <c r="E47">
        <f t="array" ref="E47">INDEX(period!$J$2:$J$5033,
MATCH(1,
(period!$E$2:$E$5033=$E$44)*
(period!$F$2:$F$5033=$A47),
0))</f>
        <v>6811</v>
      </c>
      <c r="F47" s="5">
        <f t="shared" si="14"/>
        <v>0.21406548230803102</v>
      </c>
      <c r="H47">
        <f t="shared" si="13"/>
        <v>1034</v>
      </c>
      <c r="I47">
        <v>403</v>
      </c>
      <c r="J47" t="s">
        <v>23</v>
      </c>
      <c r="K47">
        <f t="array" ref="K47">INDEX(period!$K$2:$K$5033,
MATCH(1,
(period!$E$2:$E$5033=$K$44)*
(period!$F$2:$F$5033=$A47),
0))</f>
        <v>18678</v>
      </c>
      <c r="L47">
        <f t="array" ref="L47">INDEX(period!$K$2:$K$5033,
MATCH(1,
(period!$E$2:$E$5033=$L$44)*
(period!$F$2:$F$5033=$A47),
0))</f>
        <v>16467</v>
      </c>
      <c r="M47">
        <f t="array" ref="M47">INDEX(period!$K$2:$K$5033,
MATCH(1,
(period!$E$2:$E$5033=$M$44)*
(period!$F$2:$F$5033=$A47),
0))</f>
        <v>14365</v>
      </c>
      <c r="N47" s="5">
        <f t="shared" si="15"/>
        <v>0.30024364775495993</v>
      </c>
      <c r="P47">
        <f t="shared" si="16"/>
        <v>2211</v>
      </c>
      <c r="Q47" t="s">
        <v>24</v>
      </c>
      <c r="R47" s="5">
        <f t="shared" si="17"/>
        <v>0.12922129674485475</v>
      </c>
    </row>
    <row r="48" spans="1:18" x14ac:dyDescent="0.3">
      <c r="A48">
        <v>404</v>
      </c>
      <c r="B48" t="s">
        <v>9</v>
      </c>
      <c r="C48">
        <f t="array" ref="C48">INDEX(period!$J$2:$J$5033,
MATCH(1,
(period!$E$2:$E$5033=$C$44)*
(period!$F$2:$F$5033=$A48),
0))</f>
        <v>6052</v>
      </c>
      <c r="D48">
        <f t="array" ref="D48">INDEX(period!$J$2:$J$5033,
MATCH(1,
(period!$E$2:$E$5033=$D$44)*
(period!$F$2:$F$5033=$A48),
0))</f>
        <v>5479</v>
      </c>
      <c r="E48">
        <f t="array" ref="E48">INDEX(period!$J$2:$J$5033,
MATCH(1,
(period!$E$2:$E$5033=$E$44)*
(period!$F$2:$F$5033=$A48),
0))</f>
        <v>4110</v>
      </c>
      <c r="F48" s="5">
        <f t="shared" si="14"/>
        <v>0.47250608272506089</v>
      </c>
      <c r="H48">
        <f t="shared" si="13"/>
        <v>573</v>
      </c>
      <c r="I48">
        <v>404</v>
      </c>
      <c r="J48" t="s">
        <v>9</v>
      </c>
      <c r="K48">
        <f t="array" ref="K48">INDEX(period!$K$2:$K$5033,
MATCH(1,
(period!$E$2:$E$5033=$K$44)*
(period!$F$2:$F$5033=$A48),
0))</f>
        <v>13434</v>
      </c>
      <c r="L48">
        <f t="array" ref="L48">INDEX(period!$K$2:$K$5033,
MATCH(1,
(period!$E$2:$E$5033=$L$44)*
(period!$F$2:$F$5033=$A48),
0))</f>
        <v>12087</v>
      </c>
      <c r="M48">
        <f t="array" ref="M48">INDEX(period!$K$2:$K$5033,
MATCH(1,
(period!$E$2:$E$5033=$M$44)*
(period!$F$2:$F$5033=$A48),
0))</f>
        <v>7833</v>
      </c>
      <c r="N48" s="5">
        <f t="shared" si="15"/>
        <v>0.71505170432784371</v>
      </c>
      <c r="P48">
        <f t="shared" si="16"/>
        <v>1347</v>
      </c>
      <c r="Q48" t="s">
        <v>9</v>
      </c>
      <c r="R48" s="5">
        <f t="shared" si="17"/>
        <v>9.4575799721835885E-2</v>
      </c>
    </row>
    <row r="49" spans="1:18" x14ac:dyDescent="0.3">
      <c r="A49">
        <v>405</v>
      </c>
      <c r="B49" t="s">
        <v>10</v>
      </c>
      <c r="C49">
        <f t="array" ref="C49">INDEX(period!$J$2:$J$5033,
MATCH(1,
(period!$E$2:$E$5033=$C$44)*
(period!$F$2:$F$5033=$A49),
0))</f>
        <v>2107</v>
      </c>
      <c r="D49">
        <f t="array" ref="D49">INDEX(period!$J$2:$J$5033,
MATCH(1,
(period!$E$2:$E$5033=$D$44)*
(period!$F$2:$F$5033=$A49),
0))</f>
        <v>1908</v>
      </c>
      <c r="E49">
        <f t="array" ref="E49">INDEX(period!$J$2:$J$5033,
MATCH(1,
(period!$E$2:$E$5033=$E$44)*
(period!$F$2:$F$5033=$A49),
0))</f>
        <v>978</v>
      </c>
      <c r="F49" s="5">
        <f t="shared" si="14"/>
        <v>1.1543967280163598</v>
      </c>
      <c r="H49">
        <f t="shared" si="13"/>
        <v>199</v>
      </c>
      <c r="I49">
        <v>405</v>
      </c>
      <c r="J49" t="s">
        <v>10</v>
      </c>
      <c r="K49">
        <f t="array" ref="K49">INDEX(period!$K$2:$K$5033,
MATCH(1,
(period!$E$2:$E$5033=$K$44)*
(period!$F$2:$F$5033=$A49),
0))</f>
        <v>12970</v>
      </c>
      <c r="L49">
        <f t="array" ref="L49">INDEX(period!$K$2:$K$5033,
MATCH(1,
(period!$E$2:$E$5033=$L$44)*
(period!$F$2:$F$5033=$A49),
0))</f>
        <v>11813</v>
      </c>
      <c r="M49">
        <f t="array" ref="M49">INDEX(period!$K$2:$K$5033,
MATCH(1,
(period!$E$2:$E$5033=$M$44)*
(period!$F$2:$F$5033=$A49),
0))</f>
        <v>9677</v>
      </c>
      <c r="N49" s="5">
        <f t="shared" si="15"/>
        <v>0.34029141262788065</v>
      </c>
      <c r="P49">
        <f t="shared" si="16"/>
        <v>1157</v>
      </c>
      <c r="Q49" t="s">
        <v>10</v>
      </c>
      <c r="R49" s="5">
        <f t="shared" si="17"/>
        <v>3.2926505289806382E-2</v>
      </c>
    </row>
    <row r="50" spans="1:18" x14ac:dyDescent="0.3">
      <c r="A50">
        <v>406</v>
      </c>
      <c r="B50" t="s">
        <v>11</v>
      </c>
      <c r="C50">
        <f t="array" ref="C50">INDEX(period!$J$2:$J$5033,
MATCH(1,
(period!$E$2:$E$5033=$C$44)*
(period!$F$2:$F$5033=$A50),
0))</f>
        <v>37266</v>
      </c>
      <c r="D50">
        <f t="array" ref="D50">INDEX(period!$J$2:$J$5033,
MATCH(1,
(period!$E$2:$E$5033=$D$44)*
(period!$F$2:$F$5033=$A50),
0))</f>
        <v>32809</v>
      </c>
      <c r="E50">
        <f t="array" ref="E50">INDEX(period!$J$2:$J$5033,
MATCH(1,
(period!$E$2:$E$5033=$E$44)*
(period!$F$2:$F$5033=$A50),
0))</f>
        <v>29598</v>
      </c>
      <c r="F50" s="5">
        <f t="shared" si="14"/>
        <v>0.25907155888911415</v>
      </c>
      <c r="G50" s="29">
        <f>C50/C53*100%</f>
        <v>0.58236314481723994</v>
      </c>
      <c r="H50">
        <f t="shared" si="13"/>
        <v>4457</v>
      </c>
      <c r="I50">
        <v>406</v>
      </c>
      <c r="J50" t="s">
        <v>11</v>
      </c>
      <c r="K50">
        <f t="array" ref="K50">INDEX(period!$K$2:$K$5033,
MATCH(1,
(period!$E$2:$E$5033=$K$44)*
(period!$F$2:$F$5033=$A50),
0))</f>
        <v>220682</v>
      </c>
      <c r="L50">
        <f t="array" ref="L50">INDEX(period!$K$2:$K$5033,
MATCH(1,
(period!$E$2:$E$5033=$L$44)*
(period!$F$2:$F$5033=$A50),
0))</f>
        <v>194559</v>
      </c>
      <c r="M50">
        <f t="array" ref="M50">INDEX(period!$K$2:$K$5033,
MATCH(1,
(period!$E$2:$E$5033=$M$44)*
(period!$F$2:$F$5033=$A50),
0))</f>
        <v>188915</v>
      </c>
      <c r="N50" s="5">
        <f t="shared" si="15"/>
        <v>0.16815499033957071</v>
      </c>
      <c r="O50" s="5">
        <f>K50/K53*100%</f>
        <v>0.77047852469433209</v>
      </c>
      <c r="P50">
        <f t="shared" si="16"/>
        <v>26123</v>
      </c>
      <c r="Q50" t="s">
        <v>11</v>
      </c>
      <c r="R50" s="5">
        <f t="shared" si="17"/>
        <v>0.58236314481723994</v>
      </c>
    </row>
    <row r="51" spans="1:18" x14ac:dyDescent="0.3">
      <c r="A51">
        <v>2105</v>
      </c>
      <c r="B51" t="s">
        <v>25</v>
      </c>
      <c r="C51">
        <f t="array" ref="C51">INDEX(period!$J$2:$J$5033,
MATCH(1,
(period!$E$2:$E$5033=$C$44)*
(period!$F$2:$F$5033=$A51),
0))</f>
        <v>1178</v>
      </c>
      <c r="D51">
        <f t="array" ref="D51">INDEX(period!$J$2:$J$5033,
MATCH(1,
(period!$E$2:$E$5033=$D$44)*
(period!$F$2:$F$5033=$A51),
0))</f>
        <v>1151</v>
      </c>
      <c r="E51">
        <f t="array" ref="E51">INDEX(period!$J$2:$J$5033,
MATCH(1,
(period!$E$2:$E$5033=$E$44)*
(period!$F$2:$F$5033=$A51),
0))</f>
        <v>1398</v>
      </c>
      <c r="F51" s="5">
        <f t="shared" si="14"/>
        <v>-0.15736766809728187</v>
      </c>
      <c r="H51">
        <f t="shared" si="13"/>
        <v>27</v>
      </c>
      <c r="I51">
        <v>2105</v>
      </c>
      <c r="J51" t="s">
        <v>25</v>
      </c>
      <c r="K51">
        <f t="array" ref="K51">INDEX(period!$K$2:$K$5033,
MATCH(1,
(period!$E$2:$E$5033=$K$44)*
(period!$F$2:$F$5033=$A51),
0))</f>
        <v>5311</v>
      </c>
      <c r="L51">
        <f t="array" ref="L51">INDEX(period!$K$2:$K$5033,
MATCH(1,
(period!$E$2:$E$5033=$L$44)*
(period!$F$2:$F$5033=$A51),
0))</f>
        <v>5183</v>
      </c>
      <c r="M51">
        <f t="array" ref="M51">INDEX(period!$K$2:$K$5033,
MATCH(1,
(period!$E$2:$E$5033=$M$44)*
(period!$F$2:$F$5033=$A51),
0))</f>
        <v>7575</v>
      </c>
      <c r="N51" s="5">
        <f t="shared" si="15"/>
        <v>-0.29887788778877888</v>
      </c>
      <c r="P51">
        <f t="shared" si="16"/>
        <v>128</v>
      </c>
      <c r="Q51" t="s">
        <v>25</v>
      </c>
      <c r="R51" s="5">
        <f t="shared" si="17"/>
        <v>1.8408838742948228E-2</v>
      </c>
    </row>
    <row r="52" spans="1:18" x14ac:dyDescent="0.3">
      <c r="A52">
        <v>3501</v>
      </c>
      <c r="B52" t="s">
        <v>26</v>
      </c>
      <c r="C52">
        <f t="array" ref="C52">INDEX(period!$J$2:$J$5033,
MATCH(1,
(period!$E$2:$E$5033=$C$44)*
(period!$F$2:$F$5033=$A52),
0))</f>
        <v>92</v>
      </c>
      <c r="D52">
        <f t="array" ref="D52">INDEX(period!$J$2:$J$5033,
MATCH(1,
(period!$E$2:$E$5033=$D$44)*
(period!$F$2:$F$5033=$A52),
0))</f>
        <v>91</v>
      </c>
      <c r="E52">
        <f t="array" ref="E52">INDEX(period!$J$2:$J$5033,
MATCH(1,
(period!$E$2:$E$5033=$E$44)*
(period!$F$2:$F$5033=$A52),
0))</f>
        <v>73</v>
      </c>
      <c r="F52" s="5">
        <f t="shared" si="14"/>
        <v>0.26027397260273966</v>
      </c>
      <c r="H52">
        <f t="shared" si="13"/>
        <v>1</v>
      </c>
      <c r="I52">
        <v>3501</v>
      </c>
      <c r="J52" t="s">
        <v>26</v>
      </c>
      <c r="K52">
        <f t="array" ref="K52">INDEX(period!$K$2:$K$5033,
MATCH(1,
(period!$E$2:$E$5033=$K$44)*
(period!$F$2:$F$5033=$A52),
0))</f>
        <v>614</v>
      </c>
      <c r="L52">
        <f t="array" ref="L52">INDEX(period!$K$2:$K$5033,
MATCH(1,
(period!$E$2:$E$5033=$L$44)*
(period!$F$2:$F$5033=$A52),
0))</f>
        <v>606</v>
      </c>
      <c r="M52">
        <f t="array" ref="M52">INDEX(period!$K$2:$K$5033,
MATCH(1,
(period!$E$2:$E$5033=$M$44)*
(period!$F$2:$F$5033=$A52),
0))</f>
        <v>468</v>
      </c>
      <c r="N52" s="5">
        <f t="shared" si="15"/>
        <v>0.31196581196581197</v>
      </c>
      <c r="P52">
        <f t="shared" si="16"/>
        <v>8</v>
      </c>
      <c r="Q52" t="s">
        <v>26</v>
      </c>
      <c r="R52" s="5">
        <f t="shared" si="17"/>
        <v>1.4377021768686221E-3</v>
      </c>
    </row>
    <row r="53" spans="1:18" x14ac:dyDescent="0.3">
      <c r="C53" s="4">
        <f>SUM(C45:C52)</f>
        <v>63991</v>
      </c>
      <c r="D53" s="4">
        <f>SUM(D45:D52)</f>
        <v>56205</v>
      </c>
      <c r="E53">
        <f>SUM(E45:E52)</f>
        <v>46713</v>
      </c>
      <c r="F53" s="5">
        <f t="shared" si="14"/>
        <v>0.36987562348810821</v>
      </c>
      <c r="H53">
        <f t="shared" si="13"/>
        <v>7786</v>
      </c>
      <c r="K53" s="4">
        <f>SUM(K45:K52)</f>
        <v>286422</v>
      </c>
      <c r="L53" s="4">
        <f>SUM(L45:L52)</f>
        <v>253133</v>
      </c>
      <c r="M53">
        <f>SUM(M45:M52)</f>
        <v>237862</v>
      </c>
      <c r="N53" s="5">
        <f t="shared" si="15"/>
        <v>0.20415198728674611</v>
      </c>
      <c r="R53" s="5">
        <f>SUM(R45:R52)</f>
        <v>1</v>
      </c>
    </row>
    <row r="55" spans="1:18" x14ac:dyDescent="0.3">
      <c r="J55" s="22" t="s">
        <v>41</v>
      </c>
      <c r="K55" s="4">
        <f>K12-K39</f>
        <v>-1724</v>
      </c>
      <c r="N55" s="5"/>
    </row>
    <row r="57" spans="1:18" x14ac:dyDescent="0.3">
      <c r="J57" s="22" t="s">
        <v>42</v>
      </c>
      <c r="K57" s="4">
        <f>K26-K53</f>
        <v>-6061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7866E75-0ACB-4454-BF92-B6EB97072DCF}">
          <x14:formula1>
            <xm:f>set!$B$1:$B$36</xm:f>
          </x14:formula1>
          <xm:sqref>C3:E3</xm:sqref>
        </x14:dataValidation>
        <x14:dataValidation type="list" allowBlank="1" showInputMessage="1" showErrorMessage="1" xr:uid="{0E65722A-717B-40F4-B452-077D4632B811}">
          <x14:formula1>
            <xm:f>set!$A$1:$A$36</xm:f>
          </x14:formula1>
          <xm:sqref>C17:E17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80488-1844-4A41-945D-2A9844C1F34D}">
  <dimension ref="A1:C9"/>
  <sheetViews>
    <sheetView workbookViewId="0">
      <selection activeCell="E32" sqref="E32"/>
    </sheetView>
  </sheetViews>
  <sheetFormatPr defaultRowHeight="14.4" x14ac:dyDescent="0.3"/>
  <cols>
    <col min="1" max="16384" width="8.88671875" style="18"/>
  </cols>
  <sheetData>
    <row r="1" spans="1:3" x14ac:dyDescent="0.3">
      <c r="A1" s="18" t="str">
        <f>dairy!$A3</f>
        <v>Code</v>
      </c>
      <c r="B1" s="18" t="str">
        <f>dairy!$B3</f>
        <v>Product</v>
      </c>
      <c r="C1" s="19" t="str">
        <f>dairy!$R3</f>
        <v>Export share</v>
      </c>
    </row>
    <row r="2" spans="1:3" x14ac:dyDescent="0.3">
      <c r="A2" s="18">
        <f>dairy!$A4</f>
        <v>401</v>
      </c>
      <c r="B2" s="18" t="str">
        <f>dairy!$B4</f>
        <v>Молоко та вершки, не згущені</v>
      </c>
      <c r="C2" s="19">
        <f>dairy!$R4</f>
        <v>6.5167115476001902E-2</v>
      </c>
    </row>
    <row r="3" spans="1:3" x14ac:dyDescent="0.3">
      <c r="A3" s="18">
        <f>dairy!$A5</f>
        <v>402</v>
      </c>
      <c r="B3" s="18" t="str">
        <f>dairy!$B5</f>
        <v>Молоко та вершки, згущені</v>
      </c>
      <c r="C3" s="19">
        <f>dairy!$R5</f>
        <v>0.31180104546174559</v>
      </c>
    </row>
    <row r="4" spans="1:3" x14ac:dyDescent="0.3">
      <c r="A4" s="18">
        <f>dairy!$A6</f>
        <v>403</v>
      </c>
      <c r="B4" s="18" t="str">
        <f>dairy!$B6</f>
        <v>Кисломолочні продукти</v>
      </c>
      <c r="C4" s="19">
        <f>dairy!$R6</f>
        <v>2.9431332171709172E-2</v>
      </c>
    </row>
    <row r="5" spans="1:3" x14ac:dyDescent="0.3">
      <c r="A5" s="18">
        <f>dairy!$A7</f>
        <v>404</v>
      </c>
      <c r="B5" s="18" t="str">
        <f>dairy!$B7</f>
        <v>Молочна сироватка</v>
      </c>
      <c r="C5" s="19">
        <f>dairy!$R7</f>
        <v>8.2591477902740379E-2</v>
      </c>
    </row>
    <row r="6" spans="1:3" x14ac:dyDescent="0.3">
      <c r="A6" s="18">
        <f>dairy!$A8</f>
        <v>405</v>
      </c>
      <c r="B6" s="18" t="str">
        <f>dairy!$B8</f>
        <v>Масло вершкове</v>
      </c>
      <c r="C6" s="19">
        <f>dairy!$R8</f>
        <v>0.12995406304451132</v>
      </c>
    </row>
    <row r="7" spans="1:3" x14ac:dyDescent="0.3">
      <c r="A7" s="18">
        <f>dairy!$A9</f>
        <v>406</v>
      </c>
      <c r="B7" s="18" t="str">
        <f>dairy!$B9</f>
        <v>Сири</v>
      </c>
      <c r="C7" s="19">
        <f>dairy!$R9</f>
        <v>0.22968477744337082</v>
      </c>
    </row>
    <row r="8" spans="1:3" x14ac:dyDescent="0.3">
      <c r="A8" s="18">
        <f>dairy!$A10</f>
        <v>2105</v>
      </c>
      <c r="B8" s="18" t="str">
        <f>dairy!$B10</f>
        <v>Морозиво</v>
      </c>
      <c r="C8" s="19">
        <f>dairy!$R10</f>
        <v>9.4440044352922539E-2</v>
      </c>
    </row>
    <row r="9" spans="1:3" x14ac:dyDescent="0.3">
      <c r="A9" s="18">
        <f>dairy!$A11</f>
        <v>3501</v>
      </c>
      <c r="B9" s="18" t="str">
        <f>dairy!$B11</f>
        <v>Казеїн</v>
      </c>
      <c r="C9" s="19">
        <f>dairy!$R11</f>
        <v>5.6930144146998256E-2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BA35E-7B86-4A08-A152-29B22EA4A8A3}">
  <dimension ref="A1:E9"/>
  <sheetViews>
    <sheetView workbookViewId="0">
      <selection activeCell="C1" sqref="C1:E1"/>
    </sheetView>
  </sheetViews>
  <sheetFormatPr defaultRowHeight="14.4" x14ac:dyDescent="0.3"/>
  <cols>
    <col min="1" max="2" width="8.88671875" style="18"/>
    <col min="3" max="3" width="12.6640625" style="18" customWidth="1"/>
    <col min="4" max="4" width="14.109375" style="18" customWidth="1"/>
    <col min="5" max="5" width="13.44140625" style="18" customWidth="1"/>
    <col min="6" max="16384" width="8.88671875" style="18"/>
  </cols>
  <sheetData>
    <row r="1" spans="1:5" x14ac:dyDescent="0.3">
      <c r="A1" s="18" t="str">
        <f>dairy!$I3</f>
        <v>Code</v>
      </c>
      <c r="B1" s="18" t="str">
        <f>dairy!$J3</f>
        <v>Product</v>
      </c>
      <c r="C1" s="36">
        <f>dairy!$K3</f>
        <v>46266</v>
      </c>
      <c r="D1" s="36">
        <f>dairy!$L3</f>
        <v>46235</v>
      </c>
      <c r="E1" s="36">
        <f>dairy!$M3</f>
        <v>45901</v>
      </c>
    </row>
    <row r="2" spans="1:5" x14ac:dyDescent="0.3">
      <c r="A2" s="18">
        <f>dairy!$I4</f>
        <v>401</v>
      </c>
      <c r="B2" s="18" t="str">
        <f>dairy!$J4</f>
        <v>Молоко та вершки, не згущені</v>
      </c>
      <c r="C2" s="18">
        <f>dairy!$K4</f>
        <v>2057</v>
      </c>
      <c r="D2" s="18">
        <f>dairy!$L4</f>
        <v>1510</v>
      </c>
      <c r="E2" s="18">
        <f>dairy!$M4</f>
        <v>1709</v>
      </c>
    </row>
    <row r="3" spans="1:5" x14ac:dyDescent="0.3">
      <c r="A3" s="18">
        <f>dairy!$I5</f>
        <v>402</v>
      </c>
      <c r="B3" s="18" t="str">
        <f>dairy!$J5</f>
        <v>Молоко та вершки, згущені</v>
      </c>
      <c r="C3" s="18">
        <f>dairy!$K5</f>
        <v>9842</v>
      </c>
      <c r="D3" s="18">
        <f>dairy!$L5</f>
        <v>7759</v>
      </c>
      <c r="E3" s="18">
        <f>dairy!$M5</f>
        <v>4560</v>
      </c>
    </row>
    <row r="4" spans="1:5" x14ac:dyDescent="0.3">
      <c r="A4" s="18">
        <f>dairy!$I6</f>
        <v>403</v>
      </c>
      <c r="B4" s="18" t="str">
        <f>dairy!$J6</f>
        <v>Кисломолочні продукти</v>
      </c>
      <c r="C4" s="18">
        <f>dairy!$K6</f>
        <v>929</v>
      </c>
      <c r="D4" s="18">
        <f>dairy!$L6</f>
        <v>1073</v>
      </c>
      <c r="E4" s="18">
        <f>dairy!$M6</f>
        <v>936</v>
      </c>
    </row>
    <row r="5" spans="1:5" x14ac:dyDescent="0.3">
      <c r="A5" s="18">
        <f>dairy!$I7</f>
        <v>404</v>
      </c>
      <c r="B5" s="18" t="str">
        <f>dairy!$J7</f>
        <v>Молочна сироватка</v>
      </c>
      <c r="C5" s="18">
        <f>dairy!$K7</f>
        <v>2607</v>
      </c>
      <c r="D5" s="18">
        <f>dairy!$L7</f>
        <v>2241</v>
      </c>
      <c r="E5" s="18">
        <f>dairy!$M7</f>
        <v>1136</v>
      </c>
    </row>
    <row r="6" spans="1:5" x14ac:dyDescent="0.3">
      <c r="A6" s="18">
        <f>dairy!$I8</f>
        <v>405</v>
      </c>
      <c r="B6" s="18" t="str">
        <f>dairy!$J8</f>
        <v>Масло вершкове</v>
      </c>
      <c r="C6" s="18">
        <f>dairy!$K8</f>
        <v>4102</v>
      </c>
      <c r="D6" s="18">
        <f>dairy!$L8</f>
        <v>3270</v>
      </c>
      <c r="E6" s="18">
        <f>dairy!$M8</f>
        <v>6855</v>
      </c>
    </row>
    <row r="7" spans="1:5" x14ac:dyDescent="0.3">
      <c r="A7" s="18">
        <f>dairy!$I9</f>
        <v>406</v>
      </c>
      <c r="B7" s="18" t="str">
        <f>dairy!$J9</f>
        <v>Сири</v>
      </c>
      <c r="C7" s="18">
        <f>dairy!$K9</f>
        <v>7250</v>
      </c>
      <c r="D7" s="18">
        <f>dairy!$L9</f>
        <v>5246</v>
      </c>
      <c r="E7" s="18">
        <f>dairy!$M9</f>
        <v>5465</v>
      </c>
    </row>
    <row r="8" spans="1:5" x14ac:dyDescent="0.3">
      <c r="A8" s="18">
        <f>dairy!$I10</f>
        <v>2105</v>
      </c>
      <c r="B8" s="18" t="str">
        <f>dairy!$J10</f>
        <v>Морозиво</v>
      </c>
      <c r="C8" s="18">
        <f>dairy!$K10</f>
        <v>2981</v>
      </c>
      <c r="D8" s="18">
        <f>dairy!$L10</f>
        <v>7963</v>
      </c>
      <c r="E8" s="18">
        <f>dairy!$M10</f>
        <v>2601</v>
      </c>
    </row>
    <row r="9" spans="1:5" x14ac:dyDescent="0.3">
      <c r="A9" s="18">
        <f>dairy!$I11</f>
        <v>3501</v>
      </c>
      <c r="B9" s="18" t="str">
        <f>dairy!$J11</f>
        <v>Казеїн</v>
      </c>
      <c r="C9" s="18">
        <f>dairy!$K11</f>
        <v>1797</v>
      </c>
      <c r="D9" s="18">
        <f>dairy!$L11</f>
        <v>1456</v>
      </c>
      <c r="E9" s="18">
        <f>dairy!$M11</f>
        <v>1873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FCAC9-B256-42A6-BE9F-91694FE534B2}">
  <dimension ref="A1:E9"/>
  <sheetViews>
    <sheetView topLeftCell="C1" workbookViewId="0">
      <selection activeCell="E13" sqref="E13"/>
    </sheetView>
  </sheetViews>
  <sheetFormatPr defaultRowHeight="14.4" x14ac:dyDescent="0.3"/>
  <cols>
    <col min="1" max="2" width="8.88671875" style="18"/>
    <col min="3" max="3" width="14.21875" style="18" bestFit="1" customWidth="1"/>
    <col min="4" max="5" width="10.109375" style="18" bestFit="1" customWidth="1"/>
    <col min="6" max="16384" width="8.88671875" style="18"/>
  </cols>
  <sheetData>
    <row r="1" spans="1:5" x14ac:dyDescent="0.3">
      <c r="A1" s="18" t="str">
        <f>dairy!$I30</f>
        <v>Code</v>
      </c>
      <c r="B1" s="18" t="str">
        <f>dairy!$J30</f>
        <v>Product</v>
      </c>
      <c r="C1" s="36">
        <f>dairy!$C3</f>
        <v>46266</v>
      </c>
      <c r="D1" s="36">
        <f>dairy!$L30</f>
        <v>46235</v>
      </c>
      <c r="E1" s="36">
        <f>dairy!$M30</f>
        <v>45901</v>
      </c>
    </row>
    <row r="2" spans="1:5" x14ac:dyDescent="0.3">
      <c r="A2" s="18">
        <f>dairy!$I31</f>
        <v>401</v>
      </c>
      <c r="B2" s="18" t="str">
        <f>dairy!$J31</f>
        <v>Молоко та вершки, не згущені</v>
      </c>
      <c r="C2" s="23">
        <f>dairy!$K31</f>
        <v>1456</v>
      </c>
      <c r="D2" s="18">
        <f>dairy!$L31</f>
        <v>1644</v>
      </c>
      <c r="E2" s="23">
        <f>dairy!$M31</f>
        <v>676</v>
      </c>
    </row>
    <row r="3" spans="1:5" x14ac:dyDescent="0.3">
      <c r="A3" s="18">
        <f>dairy!$I32</f>
        <v>402</v>
      </c>
      <c r="B3" s="18" t="str">
        <f>dairy!$J32</f>
        <v>Молоко та вершки, згущені</v>
      </c>
      <c r="C3" s="23">
        <f>dairy!$K32</f>
        <v>859</v>
      </c>
      <c r="D3" s="18">
        <f>dairy!$L32</f>
        <v>542</v>
      </c>
      <c r="E3" s="23">
        <f>dairy!$M32</f>
        <v>1198</v>
      </c>
    </row>
    <row r="4" spans="1:5" x14ac:dyDescent="0.3">
      <c r="A4" s="18">
        <f>dairy!$I33</f>
        <v>403</v>
      </c>
      <c r="B4" s="18" t="str">
        <f>dairy!$J33</f>
        <v>Кисломолочні продукти</v>
      </c>
      <c r="C4" s="23">
        <f>dairy!$K33</f>
        <v>2211</v>
      </c>
      <c r="D4" s="18">
        <f>dairy!$L33</f>
        <v>2182</v>
      </c>
      <c r="E4" s="23">
        <f>dairy!$M33</f>
        <v>1435</v>
      </c>
    </row>
    <row r="5" spans="1:5" x14ac:dyDescent="0.3">
      <c r="A5" s="18">
        <f>dairy!$I34</f>
        <v>404</v>
      </c>
      <c r="B5" s="18" t="str">
        <f>dairy!$J34</f>
        <v>Молочна сироватка</v>
      </c>
      <c r="C5" s="23">
        <f>dairy!$K34</f>
        <v>1347</v>
      </c>
      <c r="D5" s="18">
        <f>dairy!$L34</f>
        <v>1862</v>
      </c>
      <c r="E5" s="23">
        <f>dairy!$M34</f>
        <v>1796</v>
      </c>
    </row>
    <row r="6" spans="1:5" x14ac:dyDescent="0.3">
      <c r="A6" s="18">
        <f>dairy!$I35</f>
        <v>405</v>
      </c>
      <c r="B6" s="18" t="str">
        <f>dairy!$J35</f>
        <v>Масло вершкове</v>
      </c>
      <c r="C6" s="23">
        <f>dairy!$K35</f>
        <v>1157</v>
      </c>
      <c r="D6" s="18">
        <f>dairy!$L35</f>
        <v>1495</v>
      </c>
      <c r="E6" s="23">
        <f>dairy!$M35</f>
        <v>2326</v>
      </c>
    </row>
    <row r="7" spans="1:5" x14ac:dyDescent="0.3">
      <c r="A7" s="18">
        <f>dairy!$I36</f>
        <v>406</v>
      </c>
      <c r="B7" s="18" t="str">
        <f>dairy!$J36</f>
        <v>Сири</v>
      </c>
      <c r="C7" s="23">
        <f>dairy!$K36</f>
        <v>26123</v>
      </c>
      <c r="D7" s="18">
        <f>dairy!$L36</f>
        <v>25727</v>
      </c>
      <c r="E7" s="23">
        <f>dairy!$M36</f>
        <v>24122</v>
      </c>
    </row>
    <row r="8" spans="1:5" x14ac:dyDescent="0.3">
      <c r="A8" s="18">
        <f>dairy!$I37</f>
        <v>2105</v>
      </c>
      <c r="B8" s="18" t="str">
        <f>dairy!$J37</f>
        <v>Морозиво</v>
      </c>
      <c r="C8" s="23">
        <f>dairy!$K37</f>
        <v>128</v>
      </c>
      <c r="D8" s="18">
        <f>dairy!$L37</f>
        <v>337</v>
      </c>
      <c r="E8" s="23">
        <f>dairy!$M37</f>
        <v>184</v>
      </c>
    </row>
    <row r="9" spans="1:5" x14ac:dyDescent="0.3">
      <c r="A9" s="18">
        <f>dairy!$I38</f>
        <v>3501</v>
      </c>
      <c r="B9" s="18" t="str">
        <f>dairy!$J38</f>
        <v>Казеїн</v>
      </c>
      <c r="C9" s="18">
        <f>dairy!$K38</f>
        <v>8</v>
      </c>
      <c r="D9" s="18">
        <f>dairy!$L38</f>
        <v>70</v>
      </c>
      <c r="E9" s="23">
        <f>dairy!$M38</f>
        <v>20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D684A-9B0C-48EF-B54F-E5E22BAC02EB}">
  <dimension ref="A1:V37"/>
  <sheetViews>
    <sheetView tabSelected="1" topLeftCell="B19" workbookViewId="0">
      <selection activeCell="O26" sqref="O26"/>
    </sheetView>
  </sheetViews>
  <sheetFormatPr defaultRowHeight="14.4" x14ac:dyDescent="0.3"/>
  <cols>
    <col min="3" max="5" width="12.6640625" customWidth="1"/>
    <col min="11" max="11" width="9.44140625" bestFit="1" customWidth="1"/>
    <col min="12" max="12" width="9.88671875" customWidth="1"/>
    <col min="13" max="13" width="9.44140625" bestFit="1" customWidth="1"/>
  </cols>
  <sheetData>
    <row r="1" spans="1:22" x14ac:dyDescent="0.3">
      <c r="B1" s="20" t="s">
        <v>20</v>
      </c>
    </row>
    <row r="2" spans="1:22" x14ac:dyDescent="0.3">
      <c r="B2" t="s">
        <v>21</v>
      </c>
      <c r="C2" s="15" t="s">
        <v>37</v>
      </c>
      <c r="D2" s="16" t="s">
        <v>39</v>
      </c>
      <c r="E2" s="17" t="s">
        <v>38</v>
      </c>
      <c r="J2" t="s">
        <v>22</v>
      </c>
    </row>
    <row r="3" spans="1:22" x14ac:dyDescent="0.3">
      <c r="A3" t="s">
        <v>3</v>
      </c>
      <c r="B3" t="s">
        <v>4</v>
      </c>
      <c r="C3" s="9">
        <v>46266</v>
      </c>
      <c r="D3" s="13">
        <v>46235</v>
      </c>
      <c r="E3" s="10">
        <v>45901</v>
      </c>
      <c r="F3" t="s">
        <v>78</v>
      </c>
      <c r="G3" t="s">
        <v>79</v>
      </c>
      <c r="I3" t="s">
        <v>3</v>
      </c>
      <c r="J3" t="s">
        <v>4</v>
      </c>
      <c r="K3" s="7">
        <f>C$3</f>
        <v>46266</v>
      </c>
      <c r="L3" s="7">
        <f>D$3</f>
        <v>46235</v>
      </c>
      <c r="M3" s="7">
        <f>E$3</f>
        <v>45901</v>
      </c>
      <c r="N3" t="str">
        <f>F$3</f>
        <v>26/26</v>
      </c>
      <c r="O3" t="str">
        <f>G$3</f>
        <v>26/25</v>
      </c>
      <c r="R3" t="s">
        <v>46</v>
      </c>
    </row>
    <row r="4" spans="1:22" x14ac:dyDescent="0.3">
      <c r="A4">
        <v>102</v>
      </c>
      <c r="B4" s="24" t="s">
        <v>43</v>
      </c>
      <c r="C4">
        <f t="array" ref="C4">INDEX(monthly!$H$2:$H$5025,
MATCH(1,
(monthly!$E$2:$E$5025=$C$3)*
(monthly!$F$2:$F$5025=$A4),
0))</f>
        <v>1172</v>
      </c>
      <c r="D4">
        <f t="array" ref="D4">INDEX(monthly!$H$2:$H$5025,
MATCH(1,
(monthly!$E$2:$E$5025=$D$3)*
(monthly!$F$2:$F$5025=$A4),
0))</f>
        <v>1321</v>
      </c>
      <c r="E4" s="4">
        <f t="array" ref="E4">INDEX(monthly!$H$2:$H$5025,
MATCH(1,
(monthly!$E$2:$E$5025=$E$3)*
(monthly!$F$2:$F$5025=$A4),
0))</f>
        <v>558</v>
      </c>
      <c r="F4" s="5">
        <f>(C4/D4)-1</f>
        <v>-0.11279333838001515</v>
      </c>
      <c r="G4" s="5">
        <f>(C4/E4)-1</f>
        <v>1.1003584229390682</v>
      </c>
      <c r="I4">
        <v>102</v>
      </c>
      <c r="J4" s="24" t="s">
        <v>43</v>
      </c>
      <c r="K4">
        <f t="array" ref="K4">INDEX(monthly!$I$2:$I$5025,
MATCH(1,
(monthly!$E$2:$E$5025=$K$3)*
(monthly!$F$2:$F$5025=$I4),
0))</f>
        <v>2935</v>
      </c>
      <c r="L4">
        <f t="array" ref="L4">INDEX(monthly!$I$2:$I$5025,
MATCH(1,
(monthly!$E$2:$E$5025=$L$3)*
(monthly!$F$2:$F$5025=$I4),
0))</f>
        <v>3620</v>
      </c>
      <c r="M4" s="4">
        <f t="array" ref="M4">INDEX(monthly!$I$2:$I$5025,
MATCH(1,
(monthly!$E$2:$E$5025=$M$3)*
(monthly!$F$2:$F$5025=$I4),
0))</f>
        <v>782</v>
      </c>
      <c r="N4" s="5">
        <f t="shared" ref="N4:N6" si="0">(K4/L4)-1</f>
        <v>-0.18922651933701662</v>
      </c>
      <c r="O4" s="5">
        <f t="shared" ref="O4:O6" si="1">(K4/M4)-1</f>
        <v>2.7531969309462916</v>
      </c>
      <c r="Q4" t="s">
        <v>43</v>
      </c>
      <c r="R4" s="5">
        <f>K4/$K$7*100%</f>
        <v>0.19735072619688004</v>
      </c>
    </row>
    <row r="5" spans="1:22" x14ac:dyDescent="0.3">
      <c r="A5">
        <v>201</v>
      </c>
      <c r="B5" s="24" t="s">
        <v>44</v>
      </c>
      <c r="C5">
        <f t="array" ref="C5">INDEX(monthly!$H$2:$H$5025,
MATCH(1,
(monthly!$E$2:$E$5025=$C$3)*
(monthly!$F$2:$F$5025=$A5),
0))</f>
        <v>515</v>
      </c>
      <c r="D5">
        <f t="array" ref="D5">INDEX(monthly!$H$2:$H$5025,
MATCH(1,
(monthly!$E$2:$E$5025=$D$3)*
(monthly!$F$2:$F$5025=$A5),
0))</f>
        <v>474</v>
      </c>
      <c r="E5" s="4">
        <f t="array" ref="E5">INDEX(monthly!$H$2:$H$5025,
MATCH(1,
(monthly!$E$2:$E$5025=$E$3)*
(monthly!$F$2:$F$5025=$A5),
0))</f>
        <v>104</v>
      </c>
      <c r="F5" s="5">
        <f>(C5/D5)-1</f>
        <v>8.6497890295358593E-2</v>
      </c>
      <c r="G5" s="5">
        <f>(C5/E5)-1</f>
        <v>3.9519230769230766</v>
      </c>
      <c r="I5">
        <v>201</v>
      </c>
      <c r="J5" s="24" t="s">
        <v>44</v>
      </c>
      <c r="K5">
        <f t="array" ref="K5">INDEX(monthly!$I$2:$I$5025,
MATCH(1,
(monthly!$E$2:$E$5025=$K$3)*
(monthly!$F$2:$F$5025=$I5),
0))</f>
        <v>4151</v>
      </c>
      <c r="L5">
        <f t="array" ref="L5">INDEX(monthly!$I$2:$I$5025,
MATCH(1,
(monthly!$E$2:$E$5025=$L$3)*
(monthly!$F$2:$F$5025=$I5),
0))</f>
        <v>3959</v>
      </c>
      <c r="M5" s="4">
        <f t="array" ref="M5">INDEX(monthly!$I$2:$I$5025,
MATCH(1,
(monthly!$E$2:$E$5025=$M$3)*
(monthly!$F$2:$F$5025=$I5),
0))</f>
        <v>621</v>
      </c>
      <c r="N5" s="5">
        <f t="shared" si="0"/>
        <v>4.8497095226067266E-2</v>
      </c>
      <c r="O5" s="5">
        <f t="shared" si="1"/>
        <v>5.6843800322061195</v>
      </c>
      <c r="Q5" t="s">
        <v>44</v>
      </c>
      <c r="R5" s="5">
        <f>K5/$K$7*100%</f>
        <v>0.27911511565357722</v>
      </c>
    </row>
    <row r="6" spans="1:22" x14ac:dyDescent="0.3">
      <c r="A6">
        <v>202</v>
      </c>
      <c r="B6" s="24" t="s">
        <v>45</v>
      </c>
      <c r="C6">
        <f t="array" ref="C6">INDEX(monthly!$H$2:$H$5025,
MATCH(1,
(monthly!$E$2:$E$5025=$C$3)*
(monthly!$F$2:$F$5025=$A6),
0))</f>
        <v>1646</v>
      </c>
      <c r="D6">
        <f t="array" ref="D6">INDEX(monthly!$H$2:$H$5025,
MATCH(1,
(monthly!$E$2:$E$5025=$D$3)*
(monthly!$F$2:$F$5025=$A6),
0))</f>
        <v>1820</v>
      </c>
      <c r="E6" s="4">
        <f t="array" ref="E6">INDEX(monthly!$H$2:$H$5025,
MATCH(1,
(monthly!$E$2:$E$5025=$E$3)*
(monthly!$F$2:$F$5025=$A6),
0))</f>
        <v>1174</v>
      </c>
      <c r="F6" s="5">
        <f>(C6/D6)-1</f>
        <v>-9.5604395604395598E-2</v>
      </c>
      <c r="G6" s="6">
        <f>(C6/E6)-1</f>
        <v>0.40204429301533229</v>
      </c>
      <c r="I6">
        <v>202</v>
      </c>
      <c r="J6" s="24" t="s">
        <v>45</v>
      </c>
      <c r="K6">
        <f t="array" ref="K6">INDEX(monthly!$I$2:$I$5025,
MATCH(1,
(monthly!$E$2:$E$5025=$K$3)*
(monthly!$F$2:$F$5025=$I6),
0))</f>
        <v>7786</v>
      </c>
      <c r="L6">
        <f t="array" ref="L6">INDEX(monthly!$I$2:$I$5025,
MATCH(1,
(monthly!$E$2:$E$5025=$L$3)*
(monthly!$F$2:$F$5025=$I6),
0))</f>
        <v>8162</v>
      </c>
      <c r="M6" s="4">
        <f t="array" ref="M6">INDEX(monthly!$I$2:$I$5025,
MATCH(1,
(monthly!$E$2:$E$5025=$M$3)*
(monthly!$F$2:$F$5025=$I6),
0))</f>
        <v>5451</v>
      </c>
      <c r="N6" s="5">
        <f t="shared" si="0"/>
        <v>-4.6067140406763074E-2</v>
      </c>
      <c r="O6" s="5">
        <f t="shared" si="1"/>
        <v>0.42836176848284713</v>
      </c>
      <c r="Q6" t="s">
        <v>45</v>
      </c>
      <c r="R6" s="5">
        <f>K6/$K$7*100%</f>
        <v>0.52353415814954274</v>
      </c>
    </row>
    <row r="7" spans="1:22" x14ac:dyDescent="0.3">
      <c r="C7" s="4">
        <f>SUM(C4:C6)</f>
        <v>3333</v>
      </c>
      <c r="D7" s="4">
        <f>SUM(D4:D6)</f>
        <v>3615</v>
      </c>
      <c r="E7" s="4">
        <f>SUM(E4:E6)</f>
        <v>1836</v>
      </c>
      <c r="F7" s="5">
        <f>(C7/D7)-1</f>
        <v>-7.8008298755186667E-2</v>
      </c>
      <c r="G7" s="5">
        <f>(C7/E7)-1</f>
        <v>0.815359477124183</v>
      </c>
      <c r="K7" s="4">
        <f>SUM(K4:K6)</f>
        <v>14872</v>
      </c>
      <c r="L7" s="4">
        <f t="shared" ref="L7:M7" si="2">SUM(L4:L6)</f>
        <v>15741</v>
      </c>
      <c r="M7" s="4">
        <f t="shared" si="2"/>
        <v>6854</v>
      </c>
      <c r="N7" s="5">
        <f>(K7/L7)-1</f>
        <v>-5.5206149545772187E-2</v>
      </c>
      <c r="O7" s="5">
        <f>(K7/M7)-1</f>
        <v>1.169827837758973</v>
      </c>
      <c r="R7" s="5">
        <f>SUM(R4:R6)</f>
        <v>1</v>
      </c>
    </row>
    <row r="10" spans="1:22" x14ac:dyDescent="0.3">
      <c r="B10" t="s">
        <v>27</v>
      </c>
      <c r="J10" t="s">
        <v>27</v>
      </c>
      <c r="T10">
        <v>3620</v>
      </c>
      <c r="U10">
        <v>2935</v>
      </c>
      <c r="V10" s="29">
        <f>(U10/T10)-1</f>
        <v>-0.18922651933701662</v>
      </c>
    </row>
    <row r="11" spans="1:22" x14ac:dyDescent="0.3">
      <c r="B11" t="s">
        <v>21</v>
      </c>
      <c r="C11" s="15" t="s">
        <v>37</v>
      </c>
      <c r="D11" s="16" t="s">
        <v>39</v>
      </c>
      <c r="E11" s="17" t="s">
        <v>38</v>
      </c>
      <c r="J11" t="s">
        <v>22</v>
      </c>
    </row>
    <row r="12" spans="1:22" x14ac:dyDescent="0.3">
      <c r="A12" t="s">
        <v>3</v>
      </c>
      <c r="B12" t="s">
        <v>4</v>
      </c>
      <c r="C12" s="11" t="s">
        <v>115</v>
      </c>
      <c r="D12" s="12" t="s">
        <v>114</v>
      </c>
      <c r="E12" s="14" t="s">
        <v>29</v>
      </c>
      <c r="F12" t="str">
        <f>G$3</f>
        <v>26/25</v>
      </c>
      <c r="H12" t="s">
        <v>77</v>
      </c>
      <c r="I12" t="s">
        <v>3</v>
      </c>
      <c r="J12" t="s">
        <v>4</v>
      </c>
      <c r="K12" t="str">
        <f>C$12</f>
        <v>Січ.-вер. 2026</v>
      </c>
      <c r="L12" t="str">
        <f>D$12</f>
        <v>Січ.-сер. 2026</v>
      </c>
      <c r="M12" t="str">
        <f>E$12</f>
        <v>Січ.-вер. 2025</v>
      </c>
      <c r="N12" t="str">
        <f>G$3</f>
        <v>26/25</v>
      </c>
      <c r="P12" t="str">
        <f>H12</f>
        <v>місяць</v>
      </c>
    </row>
    <row r="13" spans="1:22" x14ac:dyDescent="0.3">
      <c r="A13">
        <v>102</v>
      </c>
      <c r="B13" s="24" t="s">
        <v>43</v>
      </c>
      <c r="C13">
        <f t="array" ref="C13">INDEX(period!$H$2:$H$5033,
MATCH(1,
(period!$E$2:$E$5033=$C$12)*
(period!$F$2:$F$5033=$A13),
0))</f>
        <v>14645</v>
      </c>
      <c r="D13">
        <f t="array" ref="D13">INDEX(period!$H$2:$H$5033,
MATCH(1,
(period!$E$2:$E$5033=$D$12)*
(period!$F$2:$F$5033=$A13),
0))</f>
        <v>13473</v>
      </c>
      <c r="E13">
        <f t="array" ref="E13">INDEX(period!$H$2:$H$5033,
MATCH(1,
(period!$E$2:$E$5033=$E$12)*
(period!$F$2:$F$5033=$A13),
0))</f>
        <v>13282</v>
      </c>
      <c r="F13" s="6">
        <f t="shared" ref="F13:F16" si="3">(C13/E13)-1</f>
        <v>0.10262008733624461</v>
      </c>
      <c r="H13">
        <f>C13-D13</f>
        <v>1172</v>
      </c>
      <c r="I13">
        <v>102</v>
      </c>
      <c r="J13" s="24" t="s">
        <v>43</v>
      </c>
      <c r="K13">
        <f t="array" ref="K13">INDEX(period!$I$2:$I$5033,
MATCH(1,
(period!$E$2:$E$5033=$K$12)*
(period!$F$2:$F$5033=$I13),
0))</f>
        <v>35250</v>
      </c>
      <c r="L13">
        <f t="array" ref="L13">INDEX(period!$I$2:$I$5033,
MATCH(1,
(period!$E$2:$E$5033=$L$12)*
(period!$F$2:$F$5033=$I13),
0))</f>
        <v>32315</v>
      </c>
      <c r="M13">
        <f t="array" ref="M13">INDEX(period!$I$2:$I$5033,
MATCH(1,
(period!$E$2:$E$5033=$M$12)*
(period!$F$2:$F$5033=$I13),
0))</f>
        <v>29218</v>
      </c>
      <c r="N13" s="5">
        <f t="shared" ref="N13:N16" si="4">(K13/M13)-1</f>
        <v>0.20644807995071535</v>
      </c>
      <c r="P13">
        <f>K13-L13</f>
        <v>2935</v>
      </c>
    </row>
    <row r="14" spans="1:22" x14ac:dyDescent="0.3">
      <c r="A14">
        <v>201</v>
      </c>
      <c r="B14" s="24" t="s">
        <v>44</v>
      </c>
      <c r="C14">
        <f t="array" ref="C14">INDEX(period!$H$2:$H$5033,
MATCH(1,
(period!$E$2:$E$5033=$C$12)*
(period!$F$2:$F$5033=$A14),
0))</f>
        <v>3557</v>
      </c>
      <c r="D14">
        <f t="array" ref="D14">INDEX(period!$H$2:$H$5033,
MATCH(1,
(period!$E$2:$E$5033=$D$12)*
(period!$F$2:$F$5033=$A14),
0))</f>
        <v>3042</v>
      </c>
      <c r="E14">
        <f t="array" ref="E14">INDEX(period!$H$2:$H$5033,
MATCH(1,
(period!$E$2:$E$5033=$E$12)*
(period!$F$2:$F$5033=$A14),
0))</f>
        <v>224</v>
      </c>
      <c r="F14" s="6">
        <f t="shared" si="3"/>
        <v>14.879464285714286</v>
      </c>
      <c r="H14">
        <f t="shared" ref="H14:H15" si="5">C14-D14</f>
        <v>515</v>
      </c>
      <c r="I14">
        <v>201</v>
      </c>
      <c r="J14" s="24" t="s">
        <v>44</v>
      </c>
      <c r="K14">
        <f t="array" ref="K14">INDEX(period!$I$2:$I$5033,
MATCH(1,
(period!$E$2:$E$5033=$K$12)*
(period!$F$2:$F$5033=$I14),
0))</f>
        <v>28520</v>
      </c>
      <c r="L14">
        <f t="array" ref="L14">INDEX(period!$I$2:$I$5033,
MATCH(1,
(period!$E$2:$E$5033=$L$12)*
(period!$F$2:$F$5033=$I14),
0))</f>
        <v>24369</v>
      </c>
      <c r="M14">
        <f t="array" ref="M14">INDEX(period!$I$2:$I$5033,
MATCH(1,
(period!$E$2:$E$5033=$M$12)*
(period!$F$2:$F$5033=$I14),
0))</f>
        <v>1313</v>
      </c>
      <c r="N14" s="5">
        <f t="shared" si="4"/>
        <v>20.721249047981722</v>
      </c>
      <c r="P14">
        <f t="shared" ref="P14:P15" si="6">K14-L14</f>
        <v>4151</v>
      </c>
    </row>
    <row r="15" spans="1:22" x14ac:dyDescent="0.3">
      <c r="A15">
        <v>202</v>
      </c>
      <c r="B15" s="24" t="s">
        <v>45</v>
      </c>
      <c r="C15">
        <f t="array" ref="C15">INDEX(period!$H$2:$H$5033,
MATCH(1,
(period!$E$2:$E$5033=$C$12)*
(period!$F$2:$F$5033=$A15),
0))</f>
        <v>14398</v>
      </c>
      <c r="D15">
        <f t="array" ref="D15">INDEX(period!$H$2:$H$5033,
MATCH(1,
(period!$E$2:$E$5033=$D$12)*
(period!$F$2:$F$5033=$A15),
0))</f>
        <v>12752</v>
      </c>
      <c r="E15">
        <f t="array" ref="E15">INDEX(period!$H$2:$H$5033,
MATCH(1,
(period!$E$2:$E$5033=$E$12)*
(period!$F$2:$F$5033=$A15),
0))</f>
        <v>13805</v>
      </c>
      <c r="F15" s="5">
        <f t="shared" si="3"/>
        <v>4.2955450923578331E-2</v>
      </c>
      <c r="H15">
        <f t="shared" si="5"/>
        <v>1646</v>
      </c>
      <c r="I15">
        <v>202</v>
      </c>
      <c r="J15" s="24" t="s">
        <v>45</v>
      </c>
      <c r="K15">
        <f t="array" ref="K15">INDEX(period!$I$2:$I$5033,
MATCH(1,
(period!$E$2:$E$5033=$K$12)*
(period!$F$2:$F$5033=$I15),
0))</f>
        <v>65355</v>
      </c>
      <c r="L15">
        <f t="array" ref="L15">INDEX(period!$I$2:$I$5033,
MATCH(1,
(period!$E$2:$E$5033=$L$12)*
(period!$F$2:$F$5033=$I15),
0))</f>
        <v>57569</v>
      </c>
      <c r="M15">
        <f t="array" ref="M15">INDEX(period!$I$2:$I$5033,
MATCH(1,
(period!$E$2:$E$5033=$M$12)*
(period!$F$2:$F$5033=$I15),
0))</f>
        <v>56788</v>
      </c>
      <c r="N15" s="5">
        <f t="shared" si="4"/>
        <v>0.15085933647953786</v>
      </c>
      <c r="P15">
        <f t="shared" si="6"/>
        <v>7786</v>
      </c>
    </row>
    <row r="16" spans="1:22" x14ac:dyDescent="0.3">
      <c r="C16">
        <f>SUM(C13:C15)</f>
        <v>32600</v>
      </c>
      <c r="D16">
        <f t="shared" ref="D16:E16" si="7">SUM(D13:D15)</f>
        <v>29267</v>
      </c>
      <c r="E16">
        <f t="shared" si="7"/>
        <v>27311</v>
      </c>
      <c r="F16" s="5">
        <f t="shared" si="3"/>
        <v>0.19365823294643181</v>
      </c>
      <c r="K16">
        <f>SUM(K13:K15)</f>
        <v>129125</v>
      </c>
      <c r="L16">
        <f>SUM(L13:L15)</f>
        <v>114253</v>
      </c>
      <c r="M16">
        <f>SUM(M13:M15)</f>
        <v>87319</v>
      </c>
      <c r="N16" s="5">
        <f t="shared" si="4"/>
        <v>0.4787732337750088</v>
      </c>
    </row>
    <row r="18" spans="1:20" x14ac:dyDescent="0.3">
      <c r="B18" s="21" t="s">
        <v>40</v>
      </c>
    </row>
    <row r="19" spans="1:20" x14ac:dyDescent="0.3">
      <c r="B19" t="s">
        <v>21</v>
      </c>
      <c r="J19" t="s">
        <v>22</v>
      </c>
    </row>
    <row r="20" spans="1:20" x14ac:dyDescent="0.3">
      <c r="A20" t="s">
        <v>3</v>
      </c>
      <c r="B20" t="s">
        <v>4</v>
      </c>
      <c r="C20" s="7">
        <f>C$3</f>
        <v>46266</v>
      </c>
      <c r="D20" s="7">
        <f>D$3</f>
        <v>46235</v>
      </c>
      <c r="E20" s="7">
        <f>E$3</f>
        <v>45901</v>
      </c>
      <c r="F20" t="str">
        <f>F$3</f>
        <v>26/26</v>
      </c>
      <c r="G20" t="str">
        <f>G$3</f>
        <v>26/25</v>
      </c>
      <c r="I20" t="s">
        <v>3</v>
      </c>
      <c r="J20" t="s">
        <v>4</v>
      </c>
      <c r="K20" s="7">
        <f>C$3</f>
        <v>46266</v>
      </c>
      <c r="L20" s="7">
        <f>D$3</f>
        <v>46235</v>
      </c>
      <c r="M20" s="7">
        <f>E$3</f>
        <v>45901</v>
      </c>
      <c r="N20" t="str">
        <f>F$3</f>
        <v>26/26</v>
      </c>
      <c r="O20" t="str">
        <f>G$3</f>
        <v>26/25</v>
      </c>
      <c r="R20" t="s">
        <v>47</v>
      </c>
    </row>
    <row r="21" spans="1:20" x14ac:dyDescent="0.3">
      <c r="A21">
        <v>102</v>
      </c>
      <c r="B21" s="24" t="s">
        <v>43</v>
      </c>
      <c r="C21" s="4">
        <f t="array" ref="C21">INDEX(monthly!$J$2:$J$5025,
MATCH(1,
(monthly!$E$2:$E$5025=$C$20)*
(monthly!$F$2:$F$5025=$A21),
0))</f>
        <v>0</v>
      </c>
      <c r="D21">
        <f t="array" ref="D21">INDEX(monthly!$J$2:$J$5025,
MATCH(1,
(monthly!$E$2:$E$5025=$D$20)*
(monthly!$F$2:$F$5025=$A21),
0))</f>
        <v>0</v>
      </c>
      <c r="E21" s="4">
        <f t="array" ref="E21">INDEX(monthly!$J$2:$J$5025,
MATCH(1,
(monthly!$E$2:$E$5025=$E$20)*
(monthly!$F$2:$F$5025=$A21),
0))</f>
        <v>0</v>
      </c>
      <c r="F21" s="5">
        <f>IFERROR((C21/D21)-1,0)</f>
        <v>0</v>
      </c>
      <c r="G21" s="5">
        <f>IFERROR((C21/E21)-1,0)</f>
        <v>0</v>
      </c>
      <c r="I21">
        <v>102</v>
      </c>
      <c r="J21" s="24" t="s">
        <v>43</v>
      </c>
      <c r="K21">
        <f t="array" ref="K21">INDEX(monthly!$K$2:$K$5025,
MATCH(1,
(monthly!$E$2:$E$5025=$K$20)*
(monthly!$F$2:$F$5025=$I21),
0))</f>
        <v>0</v>
      </c>
      <c r="L21">
        <f t="array" ref="L21">INDEX(monthly!$K$2:$K$5025,
MATCH(1,
(monthly!$E$2:$E$5025=$L$20)*
(monthly!$F$2:$F$5025=$I21),
0))</f>
        <v>0</v>
      </c>
      <c r="M21" s="4">
        <f t="array" ref="M21">INDEX(monthly!$K$2:$K$5025,
MATCH(1,
(monthly!$E$2:$E$5025=$M$20)*
(monthly!$F$2:$F$5025=$I21),
0))</f>
        <v>0</v>
      </c>
      <c r="N21" s="5" t="str">
        <f>IFERROR((K21/L21)-1," ")</f>
        <v xml:space="preserve"> </v>
      </c>
      <c r="O21" s="5" t="str">
        <f>IFERROR((K21/M21)-1," ")</f>
        <v xml:space="preserve"> </v>
      </c>
      <c r="Q21" t="s">
        <v>43</v>
      </c>
      <c r="R21" s="5">
        <f>K21/$K$24*100%</f>
        <v>0</v>
      </c>
    </row>
    <row r="22" spans="1:20" x14ac:dyDescent="0.3">
      <c r="A22">
        <v>201</v>
      </c>
      <c r="B22" s="24" t="s">
        <v>44</v>
      </c>
      <c r="C22">
        <f t="array" ref="C22">INDEX(monthly!$J$2:$J$5025,
MATCH(1,
(monthly!$E$2:$E$5025=$C$20)*
(monthly!$F$2:$F$5025=$A22),
0))</f>
        <v>20</v>
      </c>
      <c r="D22">
        <f t="array" ref="D22">INDEX(monthly!$J$2:$J$5025,
MATCH(1,
(monthly!$E$2:$E$5025=$D$20)*
(monthly!$F$2:$F$5025=$A22),
0))</f>
        <v>9</v>
      </c>
      <c r="E22" s="4">
        <f t="array" ref="E22">INDEX(monthly!$J$2:$J$5025,
MATCH(1,
(monthly!$E$2:$E$5025=$E$20)*
(monthly!$F$2:$F$5025=$A22),
0))</f>
        <v>11</v>
      </c>
      <c r="F22" s="5">
        <f t="shared" ref="F22:F24" si="8">IFERROR((C22/D22)-1,0)</f>
        <v>1.2222222222222223</v>
      </c>
      <c r="G22" s="5">
        <f t="shared" ref="G22:G24" si="9">IFERROR((C22/E22)-1,0)</f>
        <v>0.81818181818181812</v>
      </c>
      <c r="I22">
        <v>201</v>
      </c>
      <c r="J22" s="24" t="s">
        <v>44</v>
      </c>
      <c r="K22">
        <f t="array" ref="K22">INDEX(monthly!$K$2:$K$5025,
MATCH(1,
(monthly!$E$2:$E$5025=$K$20)*
(monthly!$F$2:$F$5025=$I22),
0))</f>
        <v>636</v>
      </c>
      <c r="L22">
        <f t="array" ref="L22">INDEX(monthly!$K$2:$K$5025,
MATCH(1,
(monthly!$E$2:$E$5025=$L$20)*
(monthly!$F$2:$F$5025=$I22),
0))</f>
        <v>167</v>
      </c>
      <c r="M22" s="4">
        <f t="array" ref="M22">INDEX(monthly!$K$2:$K$5025,
MATCH(1,
(monthly!$E$2:$E$5025=$M$20)*
(monthly!$F$2:$F$5025=$I22),
0))</f>
        <v>203</v>
      </c>
      <c r="N22" s="5">
        <f t="shared" ref="N21:N24" si="10">(K22/L22)-1</f>
        <v>2.808383233532934</v>
      </c>
      <c r="O22" s="5">
        <f t="shared" ref="O21:O24" si="11">(K22/M22)-1</f>
        <v>2.1330049261083746</v>
      </c>
      <c r="Q22" t="s">
        <v>44</v>
      </c>
      <c r="R22" s="5">
        <f t="shared" ref="R22:R23" si="12">K22/$K$24*100%</f>
        <v>0.33211488250652743</v>
      </c>
    </row>
    <row r="23" spans="1:20" x14ac:dyDescent="0.3">
      <c r="A23">
        <v>202</v>
      </c>
      <c r="B23" s="24" t="s">
        <v>45</v>
      </c>
      <c r="C23">
        <f t="array" ref="C23">INDEX(monthly!$J$2:$J$5025,
MATCH(1,
(monthly!$E$2:$E$5025=$C$20)*
(monthly!$F$2:$F$5025=$A23),
0))</f>
        <v>186</v>
      </c>
      <c r="D23">
        <f t="array" ref="D23">INDEX(monthly!$J$2:$J$5025,
MATCH(1,
(monthly!$E$2:$E$5025=$D$20)*
(monthly!$F$2:$F$5025=$A23),
0))</f>
        <v>84</v>
      </c>
      <c r="E23" s="4">
        <f t="array" ref="E23">INDEX(monthly!$J$2:$J$5025,
MATCH(1,
(monthly!$E$2:$E$5025=$E$20)*
(monthly!$F$2:$F$5025=$A23),
0))</f>
        <v>72</v>
      </c>
      <c r="F23" s="5">
        <f t="shared" si="8"/>
        <v>1.2142857142857144</v>
      </c>
      <c r="G23" s="5">
        <f t="shared" si="9"/>
        <v>1.5833333333333335</v>
      </c>
      <c r="I23">
        <v>202</v>
      </c>
      <c r="J23" s="24" t="s">
        <v>45</v>
      </c>
      <c r="K23">
        <f t="array" ref="K23">INDEX(monthly!$K$2:$K$5025,
MATCH(1,
(monthly!$E$2:$E$5025=$K$20)*
(monthly!$F$2:$F$5025=$I23),
0))</f>
        <v>1279</v>
      </c>
      <c r="L23">
        <f t="array" ref="L23">INDEX(monthly!$K$2:$K$5025,
MATCH(1,
(monthly!$E$2:$E$5025=$L$20)*
(monthly!$F$2:$F$5025=$I23),
0))</f>
        <v>619</v>
      </c>
      <c r="M23" s="4">
        <f t="array" ref="M23">INDEX(monthly!$K$2:$K$5025,
MATCH(1,
(monthly!$E$2:$E$5025=$M$20)*
(monthly!$F$2:$F$5025=$I23),
0))</f>
        <v>676</v>
      </c>
      <c r="N23" s="5">
        <f t="shared" si="10"/>
        <v>1.0662358642972536</v>
      </c>
      <c r="O23" s="5">
        <f t="shared" si="11"/>
        <v>0.89201183431952669</v>
      </c>
      <c r="Q23" t="s">
        <v>45</v>
      </c>
      <c r="R23" s="5">
        <f t="shared" si="12"/>
        <v>0.66788511749347257</v>
      </c>
    </row>
    <row r="24" spans="1:20" x14ac:dyDescent="0.3">
      <c r="B24" s="24"/>
      <c r="C24" s="4">
        <f>SUM(C21:C23)</f>
        <v>206</v>
      </c>
      <c r="D24">
        <f>SUM(D21:D23)</f>
        <v>93</v>
      </c>
      <c r="E24" s="4">
        <f>SUM(E21:E23)</f>
        <v>83</v>
      </c>
      <c r="F24" s="5">
        <f t="shared" si="8"/>
        <v>1.21505376344086</v>
      </c>
      <c r="G24" s="5">
        <f t="shared" si="9"/>
        <v>1.4819277108433737</v>
      </c>
      <c r="J24" s="24"/>
      <c r="K24" s="4">
        <f>SUM(K21:K23)</f>
        <v>1915</v>
      </c>
      <c r="L24">
        <f>SUM(L21:L23)</f>
        <v>786</v>
      </c>
      <c r="M24" s="4">
        <f>SUM(M21:M23)</f>
        <v>879</v>
      </c>
      <c r="N24" s="5">
        <f t="shared" si="10"/>
        <v>1.4363867684478371</v>
      </c>
      <c r="O24" s="5">
        <f t="shared" si="11"/>
        <v>1.1786120591581342</v>
      </c>
      <c r="R24" s="5">
        <f>SUM(R21:R23)</f>
        <v>1</v>
      </c>
    </row>
    <row r="25" spans="1:20" x14ac:dyDescent="0.3">
      <c r="B25" s="24"/>
      <c r="C25" s="4"/>
      <c r="E25" s="4"/>
      <c r="F25" s="5"/>
      <c r="G25" s="5"/>
      <c r="J25" s="24"/>
      <c r="K25" s="4"/>
      <c r="M25" s="4"/>
      <c r="N25" s="6"/>
      <c r="O25" s="5"/>
    </row>
    <row r="27" spans="1:20" x14ac:dyDescent="0.3">
      <c r="B27" t="s">
        <v>27</v>
      </c>
      <c r="J27" t="s">
        <v>27</v>
      </c>
    </row>
    <row r="28" spans="1:20" x14ac:dyDescent="0.3">
      <c r="B28" t="s">
        <v>21</v>
      </c>
      <c r="J28" t="s">
        <v>22</v>
      </c>
    </row>
    <row r="29" spans="1:20" x14ac:dyDescent="0.3">
      <c r="A29" t="s">
        <v>3</v>
      </c>
      <c r="B29" t="s">
        <v>4</v>
      </c>
      <c r="C29" t="str">
        <f>C$12</f>
        <v>Січ.-вер. 2026</v>
      </c>
      <c r="D29" t="str">
        <f>D$12</f>
        <v>Січ.-сер. 2026</v>
      </c>
      <c r="E29" t="str">
        <f>E$12</f>
        <v>Січ.-вер. 2025</v>
      </c>
      <c r="F29" t="str">
        <f>G$3</f>
        <v>26/25</v>
      </c>
      <c r="H29" t="str">
        <f>H12</f>
        <v>місяць</v>
      </c>
      <c r="I29" t="s">
        <v>3</v>
      </c>
      <c r="J29" t="s">
        <v>4</v>
      </c>
      <c r="K29" t="str">
        <f>C$12</f>
        <v>Січ.-вер. 2026</v>
      </c>
      <c r="L29" t="str">
        <f>D$12</f>
        <v>Січ.-сер. 2026</v>
      </c>
      <c r="M29" t="str">
        <f>E$12</f>
        <v>Січ.-вер. 2025</v>
      </c>
      <c r="N29" t="str">
        <f>G$3</f>
        <v>26/25</v>
      </c>
      <c r="P29" t="str">
        <f>H12</f>
        <v>місяць</v>
      </c>
    </row>
    <row r="30" spans="1:20" x14ac:dyDescent="0.3">
      <c r="A30">
        <v>102</v>
      </c>
      <c r="B30" t="s">
        <v>43</v>
      </c>
      <c r="C30" s="4">
        <f t="array" ref="C30">INDEX(period!$J$2:$J$5033,
MATCH(1,
(period!$E$2:$E$5033=$C$29)*
(period!$F$2:$F$5033=$A30),
0))</f>
        <v>93</v>
      </c>
      <c r="D30">
        <f t="array" ref="D30">INDEX(period!$J$2:$J$5033,
MATCH(1,
(period!$E$2:$E$5033=$D$29)*
(period!$F$2:$F$5033=$A30),
0))</f>
        <v>93</v>
      </c>
      <c r="E30">
        <f t="array" ref="E30">INDEX(period!$J$2:$J$5033,
MATCH(1,
(period!$E$2:$E$5033=$E$29)*
(period!$F$2:$F$5033=$A30),
0))</f>
        <v>512</v>
      </c>
      <c r="F30" s="5">
        <f t="shared" ref="F30:F33" si="13">(C30/E30)-1</f>
        <v>-0.818359375</v>
      </c>
      <c r="H30" s="4">
        <f>C30-D30</f>
        <v>0</v>
      </c>
      <c r="I30">
        <v>102</v>
      </c>
      <c r="J30" s="24" t="s">
        <v>43</v>
      </c>
      <c r="K30">
        <f t="array" ref="K30">INDEX(period!$K$2:$K$5033,
MATCH(1,
(period!$E$2:$E$5033=$K$29)*
(period!$F$2:$F$5033=$I30),
0))</f>
        <v>865</v>
      </c>
      <c r="L30">
        <f t="array" ref="L30">INDEX(period!$K$2:$K$5033,
MATCH(1,
(period!$E$2:$E$5033=$L$29)*
(period!$F$2:$F$5033=$I30),
0))</f>
        <v>865</v>
      </c>
      <c r="M30">
        <f t="array" ref="M30">INDEX(period!$K$2:$K$5033,
MATCH(1,
(period!$E$2:$E$5033=$M$29)*
(period!$F$2:$F$5033=$I30),
0))</f>
        <v>3952</v>
      </c>
      <c r="N30" s="5">
        <f>(K30/M30)-1</f>
        <v>-0.78112348178137658</v>
      </c>
      <c r="P30">
        <f>K30-L30</f>
        <v>0</v>
      </c>
      <c r="T30" t="s">
        <v>112</v>
      </c>
    </row>
    <row r="31" spans="1:20" x14ac:dyDescent="0.3">
      <c r="A31">
        <v>201</v>
      </c>
      <c r="B31" t="s">
        <v>44</v>
      </c>
      <c r="C31" s="4">
        <f t="array" ref="C31">INDEX(period!$J$2:$J$5033,
MATCH(1,
(period!$E$2:$E$5033=$C$29)*
(period!$F$2:$F$5033=$A31),
0))</f>
        <v>119</v>
      </c>
      <c r="D31">
        <f t="array" ref="D31">INDEX(period!$J$2:$J$5033,
MATCH(1,
(period!$E$2:$E$5033=$D$29)*
(period!$F$2:$F$5033=$A31),
0))</f>
        <v>99</v>
      </c>
      <c r="E31">
        <f t="array" ref="E31">INDEX(period!$J$2:$J$5033,
MATCH(1,
(period!$E$2:$E$5033=$E$29)*
(period!$F$2:$F$5033=$A31),
0))</f>
        <v>106</v>
      </c>
      <c r="F31" s="5">
        <f t="shared" si="13"/>
        <v>0.12264150943396235</v>
      </c>
      <c r="H31" s="4">
        <f t="shared" ref="H31:H32" si="14">C31-D31</f>
        <v>20</v>
      </c>
      <c r="I31">
        <v>201</v>
      </c>
      <c r="J31" s="24" t="s">
        <v>44</v>
      </c>
      <c r="K31">
        <f t="array" ref="K31">INDEX(period!$K$2:$K$5033,
MATCH(1,
(period!$E$2:$E$5033=$K$29)*
(period!$F$2:$F$5033=$I31),
0))</f>
        <v>3379</v>
      </c>
      <c r="L31">
        <f t="array" ref="L31">INDEX(period!$K$2:$K$5033,
MATCH(1,
(period!$E$2:$E$5033=$L$29)*
(period!$F$2:$F$5033=$I31),
0))</f>
        <v>2743</v>
      </c>
      <c r="M31">
        <f t="array" ref="M31">INDEX(period!$K$2:$K$5033,
MATCH(1,
(period!$E$2:$E$5033=$M$29)*
(period!$F$2:$F$5033=$I31),
0))</f>
        <v>2445</v>
      </c>
      <c r="N31" s="5">
        <f t="shared" ref="N31:N33" si="15">(K31/M31)-1</f>
        <v>0.38200408997955004</v>
      </c>
      <c r="P31">
        <f t="shared" ref="P31:P32" si="16">K31-L31</f>
        <v>636</v>
      </c>
      <c r="T31" t="s">
        <v>111</v>
      </c>
    </row>
    <row r="32" spans="1:20" x14ac:dyDescent="0.3">
      <c r="A32">
        <v>202</v>
      </c>
      <c r="B32" t="s">
        <v>45</v>
      </c>
      <c r="C32" s="4">
        <f t="array" ref="C32">INDEX(period!$J$2:$J$5033,
MATCH(1,
(period!$E$2:$E$5033=$C$29)*
(period!$F$2:$F$5033=$A32),
0))</f>
        <v>940</v>
      </c>
      <c r="D32">
        <f t="array" ref="D32">INDEX(period!$J$2:$J$5033,
MATCH(1,
(period!$E$2:$E$5033=$D$29)*
(period!$F$2:$F$5033=$A32),
0))</f>
        <v>754</v>
      </c>
      <c r="E32">
        <f t="array" ref="E32">INDEX(period!$J$2:$J$5033,
MATCH(1,
(period!$E$2:$E$5033=$E$29)*
(period!$F$2:$F$5033=$A32),
0))</f>
        <v>1074</v>
      </c>
      <c r="F32" s="5">
        <f t="shared" si="13"/>
        <v>-0.12476722532588458</v>
      </c>
      <c r="H32" s="4">
        <f t="shared" si="14"/>
        <v>186</v>
      </c>
      <c r="I32">
        <v>202</v>
      </c>
      <c r="J32" s="24" t="s">
        <v>45</v>
      </c>
      <c r="K32">
        <f t="array" ref="K32">INDEX(period!$K$2:$K$5033,
MATCH(1,
(period!$E$2:$E$5033=$K$29)*
(period!$F$2:$F$5033=$I32),
0))</f>
        <v>7060</v>
      </c>
      <c r="L32">
        <f t="array" ref="L32">INDEX(period!$K$2:$K$5033,
MATCH(1,
(period!$E$2:$E$5033=$L$29)*
(period!$F$2:$F$5033=$I32),
0))</f>
        <v>5781</v>
      </c>
      <c r="M32">
        <f t="array" ref="M32">INDEX(period!$K$2:$K$5033,
MATCH(1,
(period!$E$2:$E$5033=$M$29)*
(period!$F$2:$F$5033=$I32),
0))</f>
        <v>8194</v>
      </c>
      <c r="N32" s="5">
        <f t="shared" si="15"/>
        <v>-0.13839394679033434</v>
      </c>
      <c r="P32">
        <f t="shared" si="16"/>
        <v>1279</v>
      </c>
      <c r="T32" t="s">
        <v>113</v>
      </c>
    </row>
    <row r="33" spans="3:20" x14ac:dyDescent="0.3">
      <c r="C33" s="4">
        <f>SUM(C30:C32)</f>
        <v>1152</v>
      </c>
      <c r="D33">
        <f t="shared" ref="D33:E33" si="17">SUM(D30:D32)</f>
        <v>946</v>
      </c>
      <c r="E33">
        <f t="shared" si="17"/>
        <v>1692</v>
      </c>
      <c r="F33" s="5">
        <f t="shared" si="13"/>
        <v>-0.31914893617021278</v>
      </c>
      <c r="H33" s="4"/>
      <c r="K33">
        <f>SUM(K30:K32)</f>
        <v>11304</v>
      </c>
      <c r="L33">
        <f>SUM(L30:L32)</f>
        <v>9389</v>
      </c>
      <c r="M33">
        <f>SUM(M30:M32)</f>
        <v>14591</v>
      </c>
      <c r="N33" s="5">
        <f t="shared" si="15"/>
        <v>-0.22527585497909675</v>
      </c>
    </row>
    <row r="34" spans="3:20" x14ac:dyDescent="0.3">
      <c r="T34">
        <f>T30-T31</f>
        <v>987</v>
      </c>
    </row>
    <row r="35" spans="3:20" x14ac:dyDescent="0.3">
      <c r="J35" s="22" t="s">
        <v>41</v>
      </c>
      <c r="K35" s="4">
        <f>K7-K24</f>
        <v>12957</v>
      </c>
      <c r="T35">
        <f>T31-T32</f>
        <v>828</v>
      </c>
    </row>
    <row r="37" spans="3:20" x14ac:dyDescent="0.3">
      <c r="J37" s="22" t="s">
        <v>42</v>
      </c>
      <c r="K37" s="4">
        <f>K16-K33</f>
        <v>117821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DEF1336-CAFF-499E-817D-2AC20EEEBAE8}">
          <x14:formula1>
            <xm:f>set!$B$1:$B$36</xm:f>
          </x14:formula1>
          <xm:sqref>C3:E3</xm:sqref>
        </x14:dataValidation>
        <x14:dataValidation type="list" allowBlank="1" showInputMessage="1" showErrorMessage="1" xr:uid="{F2EF8931-1BD6-4039-AE33-FC70AFFB195D}">
          <x14:formula1>
            <xm:f>set!$A$1:$A$36</xm:f>
          </x14:formula1>
          <xm:sqref>C12:E12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92923-E9EF-48F7-91D9-D46AAD718348}">
  <dimension ref="A1:C5"/>
  <sheetViews>
    <sheetView topLeftCell="A7" workbookViewId="0">
      <selection activeCell="C2" sqref="C2"/>
    </sheetView>
  </sheetViews>
  <sheetFormatPr defaultRowHeight="14.4" x14ac:dyDescent="0.3"/>
  <cols>
    <col min="1" max="16384" width="8.88671875" style="24"/>
  </cols>
  <sheetData>
    <row r="1" spans="1:3" x14ac:dyDescent="0.3">
      <c r="A1" s="24" t="str">
        <f>cattle!$A3</f>
        <v>Code</v>
      </c>
      <c r="B1" s="24" t="str">
        <f>cattle!$B3</f>
        <v>Product</v>
      </c>
      <c r="C1" s="24" t="str">
        <f>cattle!$R3</f>
        <v>Export share</v>
      </c>
    </row>
    <row r="2" spans="1:3" x14ac:dyDescent="0.3">
      <c r="A2" s="24">
        <f>cattle!$A4</f>
        <v>102</v>
      </c>
      <c r="B2" s="24" t="str">
        <f>cattle!$B4</f>
        <v>ВРХ</v>
      </c>
      <c r="C2" s="28">
        <f>cattle!$R4</f>
        <v>0.19735072619688004</v>
      </c>
    </row>
    <row r="3" spans="1:3" x14ac:dyDescent="0.3">
      <c r="A3" s="24">
        <f>cattle!$A5</f>
        <v>201</v>
      </c>
      <c r="B3" s="24" t="str">
        <f>cattle!$B5</f>
        <v>М'ясо ВРХ охолоджене</v>
      </c>
      <c r="C3" s="28">
        <f>cattle!$R5</f>
        <v>0.27911511565357722</v>
      </c>
    </row>
    <row r="4" spans="1:3" x14ac:dyDescent="0.3">
      <c r="A4" s="24">
        <f>cattle!$A6</f>
        <v>202</v>
      </c>
      <c r="B4" s="24" t="str">
        <f>cattle!$B6</f>
        <v>М'ясо ВРХ морожене</v>
      </c>
      <c r="C4" s="28">
        <f>cattle!$R6</f>
        <v>0.52353415814954274</v>
      </c>
    </row>
    <row r="5" spans="1:3" x14ac:dyDescent="0.3">
      <c r="C5" s="2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9F4ED-2ADF-4350-A12D-BFC7A3170A92}">
  <dimension ref="A1:E5"/>
  <sheetViews>
    <sheetView topLeftCell="D10" workbookViewId="0">
      <selection activeCell="E10" sqref="E10"/>
    </sheetView>
  </sheetViews>
  <sheetFormatPr defaultRowHeight="14.4" x14ac:dyDescent="0.3"/>
  <cols>
    <col min="1" max="2" width="8.88671875" style="24"/>
    <col min="3" max="5" width="10.109375" style="24" bestFit="1" customWidth="1"/>
    <col min="6" max="16384" width="8.88671875" style="24"/>
  </cols>
  <sheetData>
    <row r="1" spans="1:5" x14ac:dyDescent="0.3">
      <c r="A1" s="24" t="str">
        <f>cattle!$I3</f>
        <v>Code</v>
      </c>
      <c r="B1" s="24" t="str">
        <f>cattle!$J3</f>
        <v>Product</v>
      </c>
      <c r="C1" s="38">
        <f>cattle!$K3</f>
        <v>46266</v>
      </c>
      <c r="D1" s="38">
        <f>cattle!$L3</f>
        <v>46235</v>
      </c>
      <c r="E1" s="38">
        <f>cattle!$M3</f>
        <v>45901</v>
      </c>
    </row>
    <row r="2" spans="1:5" x14ac:dyDescent="0.3">
      <c r="A2" s="24">
        <f>cattle!$I4</f>
        <v>102</v>
      </c>
      <c r="B2" s="24" t="str">
        <f>cattle!$J4</f>
        <v>ВРХ</v>
      </c>
      <c r="C2" s="27">
        <f>cattle!$K4</f>
        <v>2935</v>
      </c>
      <c r="D2" s="24">
        <f>cattle!$L4</f>
        <v>3620</v>
      </c>
      <c r="E2" s="27">
        <f>cattle!$M4</f>
        <v>782</v>
      </c>
    </row>
    <row r="3" spans="1:5" x14ac:dyDescent="0.3">
      <c r="A3" s="24">
        <f>cattle!$I5</f>
        <v>201</v>
      </c>
      <c r="B3" s="24" t="str">
        <f>cattle!$J5</f>
        <v>М'ясо ВРХ охолоджене</v>
      </c>
      <c r="C3" s="27">
        <f>cattle!$K5</f>
        <v>4151</v>
      </c>
      <c r="D3" s="24">
        <f>cattle!$L5</f>
        <v>3959</v>
      </c>
      <c r="E3" s="27">
        <f>cattle!$M5</f>
        <v>621</v>
      </c>
    </row>
    <row r="4" spans="1:5" x14ac:dyDescent="0.3">
      <c r="A4" s="24">
        <f>cattle!$I6</f>
        <v>202</v>
      </c>
      <c r="B4" s="24" t="str">
        <f>cattle!$J6</f>
        <v>М'ясо ВРХ морожене</v>
      </c>
      <c r="C4" s="27">
        <f>cattle!$K6</f>
        <v>7786</v>
      </c>
      <c r="D4" s="24">
        <f>cattle!$L6</f>
        <v>8162</v>
      </c>
      <c r="E4" s="27">
        <f>cattle!$M6</f>
        <v>5451</v>
      </c>
    </row>
    <row r="5" spans="1:5" x14ac:dyDescent="0.3">
      <c r="C5" s="26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B099A-B0BC-41D3-BD9E-270FF800D4B2}">
  <dimension ref="A1:E4"/>
  <sheetViews>
    <sheetView workbookViewId="0">
      <selection activeCell="G6" sqref="G6"/>
    </sheetView>
  </sheetViews>
  <sheetFormatPr defaultRowHeight="14.4" x14ac:dyDescent="0.3"/>
  <cols>
    <col min="1" max="16384" width="8.88671875" style="24"/>
  </cols>
  <sheetData>
    <row r="1" spans="1:5" x14ac:dyDescent="0.3">
      <c r="A1" s="24" t="str">
        <f>cattle!$I20</f>
        <v>Code</v>
      </c>
      <c r="B1" s="24" t="str">
        <f>cattle!$J20</f>
        <v>Product</v>
      </c>
      <c r="C1" s="38">
        <f>cattle!$K20</f>
        <v>46266</v>
      </c>
      <c r="D1" s="38">
        <f>cattle!$L20</f>
        <v>46235</v>
      </c>
      <c r="E1" s="38">
        <f>cattle!$M20</f>
        <v>45901</v>
      </c>
    </row>
    <row r="2" spans="1:5" x14ac:dyDescent="0.3">
      <c r="A2" s="24">
        <f>cattle!$I21</f>
        <v>102</v>
      </c>
      <c r="B2" s="24" t="str">
        <f>cattle!$J21</f>
        <v>ВРХ</v>
      </c>
      <c r="C2" s="27">
        <f>cattle!$K21</f>
        <v>0</v>
      </c>
      <c r="D2" s="24">
        <f>cattle!$L21</f>
        <v>0</v>
      </c>
      <c r="E2" s="27">
        <f>cattle!$M21</f>
        <v>0</v>
      </c>
    </row>
    <row r="3" spans="1:5" x14ac:dyDescent="0.3">
      <c r="A3" s="24">
        <f>cattle!$I22</f>
        <v>201</v>
      </c>
      <c r="B3" s="24" t="str">
        <f>cattle!$J22</f>
        <v>М'ясо ВРХ охолоджене</v>
      </c>
      <c r="C3" s="27">
        <f>cattle!$K22</f>
        <v>636</v>
      </c>
      <c r="D3" s="24">
        <f>cattle!$L22</f>
        <v>167</v>
      </c>
      <c r="E3" s="27">
        <f>cattle!$M22</f>
        <v>203</v>
      </c>
    </row>
    <row r="4" spans="1:5" x14ac:dyDescent="0.3">
      <c r="A4" s="24">
        <f>cattle!$I23</f>
        <v>202</v>
      </c>
      <c r="B4" s="24" t="str">
        <f>cattle!$J23</f>
        <v>М'ясо ВРХ морожене</v>
      </c>
      <c r="C4" s="27">
        <f>cattle!$K23</f>
        <v>1279</v>
      </c>
      <c r="D4" s="24">
        <f>cattle!$L23</f>
        <v>619</v>
      </c>
      <c r="E4" s="27">
        <f>cattle!$M23</f>
        <v>676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E9E37-E0F2-4D1D-94B6-877DB36B25F9}">
  <dimension ref="A1:B37"/>
  <sheetViews>
    <sheetView topLeftCell="A4" workbookViewId="0">
      <selection activeCell="A20" sqref="A20"/>
    </sheetView>
  </sheetViews>
  <sheetFormatPr defaultRowHeight="14.4" x14ac:dyDescent="0.3"/>
  <cols>
    <col min="1" max="1" width="13.21875" bestFit="1" customWidth="1"/>
  </cols>
  <sheetData>
    <row r="1" spans="1:2" x14ac:dyDescent="0.3">
      <c r="A1" s="8" t="str">
        <f>"Січ.-"&amp;
CHOOSE(MOD(ROW()-ROW($A$1),12)+1,
"січ.","лют.","бер.","кві.","тра.","чер.",
"лип.","сер.","вер.","жов.","лис.","гру.")
&amp;" "&amp;(2024+INT((ROW()-ROW($A$1))/12))</f>
        <v>Січ.-січ. 2024</v>
      </c>
      <c r="B1" s="35">
        <v>45292</v>
      </c>
    </row>
    <row r="2" spans="1:2" x14ac:dyDescent="0.3">
      <c r="A2" s="8" t="str">
        <f t="shared" ref="A2:A36" si="0">"Січ.-"&amp;
CHOOSE(MOD(ROW()-ROW($A$1),12)+1,
"січ.","лют.","бер.","кві.","тра.","чер.",
"лип.","сер.","вер.","жов.","лис.","гру.")
&amp;" "&amp;(2024+INT((ROW()-ROW($A$1))/12))</f>
        <v>Січ.-лют. 2024</v>
      </c>
      <c r="B2" s="35">
        <v>45323</v>
      </c>
    </row>
    <row r="3" spans="1:2" x14ac:dyDescent="0.3">
      <c r="A3" s="8" t="str">
        <f t="shared" si="0"/>
        <v>Січ.-бер. 2024</v>
      </c>
      <c r="B3" s="35">
        <v>45352</v>
      </c>
    </row>
    <row r="4" spans="1:2" x14ac:dyDescent="0.3">
      <c r="A4" s="8" t="str">
        <f t="shared" si="0"/>
        <v>Січ.-кві. 2024</v>
      </c>
      <c r="B4" s="35">
        <v>45383</v>
      </c>
    </row>
    <row r="5" spans="1:2" x14ac:dyDescent="0.3">
      <c r="A5" s="8" t="str">
        <f t="shared" si="0"/>
        <v>Січ.-тра. 2024</v>
      </c>
      <c r="B5" s="35">
        <v>45413</v>
      </c>
    </row>
    <row r="6" spans="1:2" x14ac:dyDescent="0.3">
      <c r="A6" s="8" t="str">
        <f t="shared" si="0"/>
        <v>Січ.-чер. 2024</v>
      </c>
      <c r="B6" s="35">
        <v>45444</v>
      </c>
    </row>
    <row r="7" spans="1:2" x14ac:dyDescent="0.3">
      <c r="A7" s="8" t="str">
        <f t="shared" si="0"/>
        <v>Січ.-лип. 2024</v>
      </c>
      <c r="B7" s="35">
        <v>45474</v>
      </c>
    </row>
    <row r="8" spans="1:2" x14ac:dyDescent="0.3">
      <c r="A8" s="8" t="str">
        <f t="shared" si="0"/>
        <v>Січ.-сер. 2024</v>
      </c>
      <c r="B8" s="35">
        <v>45505</v>
      </c>
    </row>
    <row r="9" spans="1:2" x14ac:dyDescent="0.3">
      <c r="A9" s="8" t="str">
        <f t="shared" si="0"/>
        <v>Січ.-вер. 2024</v>
      </c>
      <c r="B9" s="35">
        <v>45536</v>
      </c>
    </row>
    <row r="10" spans="1:2" x14ac:dyDescent="0.3">
      <c r="A10" s="8" t="str">
        <f t="shared" si="0"/>
        <v>Січ.-жов. 2024</v>
      </c>
      <c r="B10" s="35">
        <v>45566</v>
      </c>
    </row>
    <row r="11" spans="1:2" x14ac:dyDescent="0.3">
      <c r="A11" s="8" t="str">
        <f t="shared" si="0"/>
        <v>Січ.-лис. 2024</v>
      </c>
      <c r="B11" s="35">
        <v>45597</v>
      </c>
    </row>
    <row r="12" spans="1:2" x14ac:dyDescent="0.3">
      <c r="A12" s="8" t="str">
        <f t="shared" si="0"/>
        <v>Січ.-гру. 2024</v>
      </c>
      <c r="B12" s="35">
        <v>45627</v>
      </c>
    </row>
    <row r="13" spans="1:2" x14ac:dyDescent="0.3">
      <c r="A13" s="8" t="str">
        <f t="shared" si="0"/>
        <v>Січ.-січ. 2025</v>
      </c>
      <c r="B13" s="35">
        <v>45658</v>
      </c>
    </row>
    <row r="14" spans="1:2" x14ac:dyDescent="0.3">
      <c r="A14" s="8" t="str">
        <f t="shared" si="0"/>
        <v>Січ.-лют. 2025</v>
      </c>
      <c r="B14" s="35">
        <v>45689</v>
      </c>
    </row>
    <row r="15" spans="1:2" x14ac:dyDescent="0.3">
      <c r="A15" s="8" t="str">
        <f t="shared" si="0"/>
        <v>Січ.-бер. 2025</v>
      </c>
      <c r="B15" s="35">
        <v>45717</v>
      </c>
    </row>
    <row r="16" spans="1:2" x14ac:dyDescent="0.3">
      <c r="A16" s="8" t="str">
        <f t="shared" si="0"/>
        <v>Січ.-кві. 2025</v>
      </c>
      <c r="B16" s="35">
        <v>45748</v>
      </c>
    </row>
    <row r="17" spans="1:2" x14ac:dyDescent="0.3">
      <c r="A17" s="8" t="str">
        <f t="shared" si="0"/>
        <v>Січ.-тра. 2025</v>
      </c>
      <c r="B17" s="35">
        <v>45778</v>
      </c>
    </row>
    <row r="18" spans="1:2" x14ac:dyDescent="0.3">
      <c r="A18" s="8" t="str">
        <f t="shared" si="0"/>
        <v>Січ.-чер. 2025</v>
      </c>
      <c r="B18" s="35">
        <v>45809</v>
      </c>
    </row>
    <row r="19" spans="1:2" x14ac:dyDescent="0.3">
      <c r="A19" s="8" t="str">
        <f t="shared" si="0"/>
        <v>Січ.-лип. 2025</v>
      </c>
      <c r="B19" s="35">
        <v>45839</v>
      </c>
    </row>
    <row r="20" spans="1:2" x14ac:dyDescent="0.3">
      <c r="A20" s="8" t="str">
        <f>"Січ.-"&amp;
CHOOSE(MOD(ROW()-ROW($A$1),12)+1,
"січ.","лют.","бер.","кві.","тра.","чер.",
"лип.","сер.","вер.","жов.","лис.","гру.")
&amp;" "&amp;(2024+INT((ROW()-ROW($A$1))/12))</f>
        <v>Січ.-сер. 2025</v>
      </c>
      <c r="B20" s="35">
        <v>45870</v>
      </c>
    </row>
    <row r="21" spans="1:2" x14ac:dyDescent="0.3">
      <c r="A21" s="8" t="str">
        <f t="shared" si="0"/>
        <v>Січ.-вер. 2025</v>
      </c>
      <c r="B21" s="35">
        <v>45901</v>
      </c>
    </row>
    <row r="22" spans="1:2" x14ac:dyDescent="0.3">
      <c r="A22" s="8" t="str">
        <f t="shared" si="0"/>
        <v>Січ.-жов. 2025</v>
      </c>
      <c r="B22" s="35">
        <v>45931</v>
      </c>
    </row>
    <row r="23" spans="1:2" x14ac:dyDescent="0.3">
      <c r="A23" s="8" t="str">
        <f t="shared" si="0"/>
        <v>Січ.-лис. 2025</v>
      </c>
      <c r="B23" s="35">
        <v>45962</v>
      </c>
    </row>
    <row r="24" spans="1:2" x14ac:dyDescent="0.3">
      <c r="A24" s="8" t="str">
        <f t="shared" si="0"/>
        <v>Січ.-гру. 2025</v>
      </c>
      <c r="B24" s="35">
        <v>45992</v>
      </c>
    </row>
    <row r="25" spans="1:2" x14ac:dyDescent="0.3">
      <c r="A25" s="8" t="str">
        <f>"Січ.-"&amp;
CHOOSE(MOD(ROW()-ROW($A$1),12)+1,
"січ.","лют.","бер.","кві.","тра.","чер.",
"лип.","сер.","вер.","жов.","лис.","гру.")
&amp;" "&amp;(2024+INT((ROW()-ROW($A$1))/12))</f>
        <v>Січ.-січ. 2026</v>
      </c>
      <c r="B25" s="35">
        <v>46023</v>
      </c>
    </row>
    <row r="26" spans="1:2" x14ac:dyDescent="0.3">
      <c r="A26" s="8" t="str">
        <f t="shared" si="0"/>
        <v>Січ.-лют. 2026</v>
      </c>
      <c r="B26" s="35">
        <v>46054</v>
      </c>
    </row>
    <row r="27" spans="1:2" x14ac:dyDescent="0.3">
      <c r="A27" s="8" t="str">
        <f t="shared" si="0"/>
        <v>Січ.-бер. 2026</v>
      </c>
      <c r="B27" s="35">
        <v>46082</v>
      </c>
    </row>
    <row r="28" spans="1:2" x14ac:dyDescent="0.3">
      <c r="A28" s="8" t="str">
        <f t="shared" si="0"/>
        <v>Січ.-кві. 2026</v>
      </c>
      <c r="B28" s="35">
        <v>46113</v>
      </c>
    </row>
    <row r="29" spans="1:2" x14ac:dyDescent="0.3">
      <c r="A29" s="8" t="str">
        <f t="shared" si="0"/>
        <v>Січ.-тра. 2026</v>
      </c>
      <c r="B29" s="35">
        <v>46143</v>
      </c>
    </row>
    <row r="30" spans="1:2" x14ac:dyDescent="0.3">
      <c r="A30" s="8" t="str">
        <f t="shared" si="0"/>
        <v>Січ.-чер. 2026</v>
      </c>
      <c r="B30" s="35">
        <v>46174</v>
      </c>
    </row>
    <row r="31" spans="1:2" x14ac:dyDescent="0.3">
      <c r="A31" s="8" t="str">
        <f t="shared" si="0"/>
        <v>Січ.-лип. 2026</v>
      </c>
      <c r="B31" s="35">
        <v>46204</v>
      </c>
    </row>
    <row r="32" spans="1:2" x14ac:dyDescent="0.3">
      <c r="A32" s="8" t="str">
        <f t="shared" si="0"/>
        <v>Січ.-сер. 2026</v>
      </c>
      <c r="B32" s="35">
        <v>46235</v>
      </c>
    </row>
    <row r="33" spans="1:2" x14ac:dyDescent="0.3">
      <c r="A33" s="8" t="str">
        <f t="shared" si="0"/>
        <v>Січ.-вер. 2026</v>
      </c>
      <c r="B33" s="35">
        <v>46266</v>
      </c>
    </row>
    <row r="34" spans="1:2" x14ac:dyDescent="0.3">
      <c r="A34" s="8" t="str">
        <f t="shared" si="0"/>
        <v>Січ.-жов. 2026</v>
      </c>
      <c r="B34" s="35">
        <v>46296</v>
      </c>
    </row>
    <row r="35" spans="1:2" x14ac:dyDescent="0.3">
      <c r="A35" s="8" t="str">
        <f>"Січ.-"&amp;
CHOOSE(MOD(ROW()-ROW($A$1),12)+1,
"січ.","лют.","бер.","кві.","тра.","чер.",
"лип.","сер.","вер.","жов.","лис.","гру.")
&amp;" "&amp;(2024+INT((ROW()-ROW($A$1))/12))</f>
        <v>Січ.-лис. 2026</v>
      </c>
      <c r="B35" s="35">
        <v>46327</v>
      </c>
    </row>
    <row r="36" spans="1:2" x14ac:dyDescent="0.3">
      <c r="A36" s="8" t="str">
        <f t="shared" si="0"/>
        <v>Січ.-гру. 2026</v>
      </c>
      <c r="B36" s="35">
        <v>46357</v>
      </c>
    </row>
    <row r="37" spans="1:2" x14ac:dyDescent="0.3">
      <c r="A3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13</vt:i4>
      </vt:variant>
    </vt:vector>
  </HeadingPairs>
  <TitlesOfParts>
    <vt:vector size="13" baseType="lpstr">
      <vt:lpstr>period</vt:lpstr>
      <vt:lpstr>monthly</vt:lpstr>
      <vt:lpstr>country</vt:lpstr>
      <vt:lpstr>country dairy</vt:lpstr>
      <vt:lpstr>dairy</vt:lpstr>
      <vt:lpstr>d1</vt:lpstr>
      <vt:lpstr>d2</vt:lpstr>
      <vt:lpstr>d3</vt:lpstr>
      <vt:lpstr>cattle</vt:lpstr>
      <vt:lpstr>d4</vt:lpstr>
      <vt:lpstr>d5</vt:lpstr>
      <vt:lpstr>d6</vt:lpstr>
      <vt:lpstr>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Georgii</dc:creator>
  <cp:lastModifiedBy>Georgii</cp:lastModifiedBy>
  <dcterms:created xsi:type="dcterms:W3CDTF">2026-01-12T09:06:53Z</dcterms:created>
  <dcterms:modified xsi:type="dcterms:W3CDTF">2026-10-25T13:58:09Z</dcterms:modified>
</cp:coreProperties>
</file>